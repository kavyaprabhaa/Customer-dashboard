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vya\Downloads\"/>
    </mc:Choice>
  </mc:AlternateContent>
  <xr:revisionPtr revIDLastSave="0" documentId="8_{AF569A09-33FC-4008-9FF1-9289AF643F4E}" xr6:coauthVersionLast="47" xr6:coauthVersionMax="47" xr10:uidLastSave="{00000000-0000-0000-0000-000000000000}"/>
  <bookViews>
    <workbookView xWindow="-108" yWindow="-108" windowWidth="23256" windowHeight="13896" activeTab="2" xr2:uid="{346724B3-1C49-40AE-AA36-C77CF5D6DD09}"/>
  </bookViews>
  <sheets>
    <sheet name="Data" sheetId="1" r:id="rId1"/>
    <sheet name="Questions &amp; KPIs" sheetId="2" r:id="rId2"/>
    <sheet name="Dashboard" sheetId="3" r:id="rId3"/>
    <sheet name="Sheet1" sheetId="5" r:id="rId4"/>
    <sheet name="Sheet4" sheetId="8" r:id="rId5"/>
    <sheet name="Sheet5" sheetId="9" r:id="rId6"/>
    <sheet name="Sheet6" sheetId="10" r:id="rId7"/>
    <sheet name="Sheet7" sheetId="11" r:id="rId8"/>
  </sheets>
  <definedNames>
    <definedName name="Slicer_Gender_Value">#N/A</definedName>
    <definedName name="Slicer_Order_Mode">#N/A</definedName>
  </definedNames>
  <calcPr calcId="191029"/>
  <pivotCaches>
    <pivotCache cacheId="2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8" l="1"/>
  <c r="H6" i="8"/>
  <c r="H7" i="8"/>
  <c r="H8" i="8"/>
  <c r="H9" i="8"/>
  <c r="J4" i="8"/>
  <c r="K4" i="8"/>
  <c r="L4" i="8"/>
  <c r="I4" i="8"/>
  <c r="I5" i="8"/>
  <c r="J5" i="8"/>
  <c r="K5" i="8"/>
  <c r="L5" i="8"/>
  <c r="I6" i="8"/>
  <c r="J6" i="8"/>
  <c r="K6" i="8"/>
  <c r="L6" i="8"/>
  <c r="I7" i="8"/>
  <c r="J7" i="8"/>
  <c r="K7" i="8"/>
  <c r="L7" i="8"/>
  <c r="I8" i="8"/>
  <c r="J8" i="8"/>
  <c r="K8" i="8"/>
  <c r="L8" i="8"/>
  <c r="I9" i="8"/>
  <c r="J9" i="8"/>
  <c r="K9" i="8"/>
  <c r="L9" i="8"/>
  <c r="L4" i="5"/>
  <c r="K4" i="5"/>
  <c r="J4" i="5"/>
  <c r="I4" i="5"/>
  <c r="H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<sst xmlns="http://schemas.openxmlformats.org/spreadsheetml/2006/main" count="14579" uniqueCount="2622">
  <si>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</si>
  <si>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</si>
  <si>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</si>
  <si>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</si>
  <si>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</si>
  <si>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</si>
  <si>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</si>
  <si>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</si>
  <si>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</si>
  <si>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</si>
  <si>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</si>
  <si>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</si>
  <si>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</si>
  <si>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</si>
  <si>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</si>
  <si>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</si>
  <si>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</si>
  <si>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</si>
  <si>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</si>
  <si>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</si>
  <si>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</si>
  <si>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</si>
  <si>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</si>
  <si>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</si>
  <si>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</si>
  <si>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</si>
  <si>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</si>
  <si>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</si>
  <si>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</si>
  <si>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</si>
  <si>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</si>
  <si>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</si>
  <si>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</si>
  <si>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</si>
  <si>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</si>
  <si>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</si>
  <si>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</si>
  <si>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</si>
  <si>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</si>
  <si>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</si>
  <si>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</si>
  <si>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</si>
  <si>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</si>
  <si>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</si>
  <si>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</si>
  <si>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</si>
  <si>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</si>
  <si>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</si>
  <si>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</si>
  <si>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</si>
  <si>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</si>
  <si>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</si>
  <si>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</si>
  <si>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</si>
  <si>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</si>
  <si>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</si>
  <si>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</si>
  <si>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</si>
  <si>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</si>
  <si>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</si>
  <si>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</si>
  <si>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</si>
  <si>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</si>
  <si>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</si>
  <si>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</si>
  <si>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</si>
  <si>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</si>
  <si>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</si>
  <si>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</si>
  <si>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</si>
  <si>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</si>
  <si>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</si>
  <si>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</si>
  <si>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</si>
  <si>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</si>
  <si>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</si>
  <si>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</si>
  <si>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</si>
  <si>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</si>
  <si>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</si>
  <si>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</si>
  <si>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</si>
  <si>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</si>
  <si>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</si>
  <si>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</si>
  <si>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</si>
  <si>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</si>
  <si>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</si>
  <si>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</si>
  <si>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</si>
  <si>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</si>
  <si>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</si>
  <si>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</si>
  <si>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</si>
  <si>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</si>
  <si>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</si>
  <si>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</si>
  <si>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</si>
  <si>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</si>
  <si>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</si>
  <si>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</si>
  <si>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</si>
  <si>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</si>
  <si>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</si>
  <si>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</si>
  <si>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</si>
  <si>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</si>
  <si>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</si>
  <si>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</si>
  <si>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</si>
  <si>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</si>
  <si>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</si>
  <si>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</si>
  <si>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</si>
  <si>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</si>
  <si>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</si>
  <si>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</si>
  <si>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</si>
  <si>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</si>
  <si>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</si>
  <si>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</si>
  <si>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</si>
  <si>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</si>
  <si>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</si>
  <si>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</si>
  <si>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</si>
  <si>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</si>
  <si>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</si>
  <si>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</si>
  <si>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</si>
  <si>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</si>
  <si>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</si>
  <si>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</si>
  <si>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</si>
  <si>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</si>
  <si>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</si>
  <si>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</si>
  <si>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</si>
  <si>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</si>
  <si>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</si>
  <si>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</si>
  <si>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</si>
  <si>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</si>
  <si>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</si>
  <si>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</si>
  <si>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</si>
  <si>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</si>
  <si>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</si>
  <si>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</si>
  <si>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</si>
  <si>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</si>
  <si>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</si>
  <si>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</si>
  <si>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</si>
  <si>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</si>
  <si>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</si>
  <si>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</si>
  <si>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</si>
  <si>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</si>
  <si>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</si>
  <si>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</si>
  <si>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</si>
  <si>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</si>
  <si>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</si>
  <si>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</si>
  <si>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</si>
  <si>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</si>
  <si>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</si>
  <si>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</si>
  <si>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</si>
  <si>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</si>
  <si>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</si>
  <si>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</si>
  <si>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</si>
  <si>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</si>
  <si>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</si>
  <si>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</si>
  <si>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</si>
  <si>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</si>
  <si>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</si>
  <si>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</si>
  <si>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</si>
  <si>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</si>
  <si>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</si>
  <si>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</si>
  <si>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</si>
  <si>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</si>
  <si>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</si>
  <si>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</si>
  <si>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</si>
  <si>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</si>
  <si>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</si>
  <si>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</si>
  <si>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</si>
  <si>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</si>
  <si>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</si>
  <si>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</si>
  <si>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</si>
  <si>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</si>
  <si>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</si>
  <si>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</si>
  <si>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</si>
  <si>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</si>
  <si>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</si>
  <si>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</si>
  <si>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</si>
  <si>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</si>
  <si>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</si>
  <si>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</si>
  <si>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</si>
  <si>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</si>
  <si>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</si>
  <si>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</si>
  <si>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</si>
  <si>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</si>
  <si>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</si>
  <si>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</si>
  <si>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</si>
  <si>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</si>
  <si>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</si>
  <si>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</si>
  <si>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</si>
  <si>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</si>
  <si>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</si>
  <si>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</si>
  <si>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</si>
  <si>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</si>
  <si>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</si>
  <si>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</si>
  <si>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</si>
  <si>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</si>
  <si>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</si>
  <si>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</si>
  <si>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</si>
  <si>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</si>
  <si>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</si>
  <si>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</si>
  <si>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</si>
  <si>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</si>
  <si>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</si>
  <si>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</si>
  <si>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</si>
  <si>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</si>
  <si>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</si>
  <si>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</si>
  <si>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</si>
  <si>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</si>
  <si>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</si>
  <si>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</si>
  <si>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</si>
  <si>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</si>
  <si>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</si>
  <si>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</si>
  <si>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</si>
  <si>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</si>
  <si>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</si>
  <si>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</si>
  <si>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</si>
  <si>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</si>
  <si>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</si>
  <si>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</si>
  <si>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</si>
  <si>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</si>
  <si>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</si>
  <si>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</si>
  <si>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</si>
  <si>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</si>
  <si>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</si>
  <si>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</si>
  <si>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</si>
  <si>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</si>
  <si>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</si>
  <si>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</si>
  <si>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</si>
  <si>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</si>
  <si>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</si>
  <si>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</si>
  <si>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</si>
  <si>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</si>
  <si>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</si>
  <si>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</si>
  <si>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</si>
  <si>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</si>
  <si>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</si>
  <si>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</si>
  <si>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</si>
  <si>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</si>
  <si>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</si>
  <si>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</si>
  <si>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</si>
  <si>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</si>
  <si>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</si>
  <si>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</si>
  <si>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</si>
  <si>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</si>
  <si>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</si>
  <si>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</si>
  <si>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</si>
  <si>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</si>
  <si>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</si>
  <si>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</si>
  <si>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</si>
  <si>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</si>
  <si>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</si>
  <si>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</si>
  <si>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</si>
  <si>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</si>
  <si>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</si>
  <si>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</si>
  <si>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</si>
  <si>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</si>
  <si>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</si>
  <si>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</si>
  <si>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</si>
  <si>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</si>
  <si>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</si>
  <si>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</si>
  <si>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</si>
  <si>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</si>
  <si>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</si>
  <si>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</si>
  <si>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</si>
  <si>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</si>
  <si>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</si>
  <si>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</si>
  <si>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</si>
  <si>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</si>
  <si>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</si>
  <si>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</si>
  <si>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</si>
  <si>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</si>
  <si>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</si>
  <si>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</si>
  <si>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</si>
  <si>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</si>
  <si>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</si>
  <si>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</si>
  <si>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</si>
  <si>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</si>
  <si>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</si>
  <si>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</si>
  <si>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</si>
  <si>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</si>
  <si>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</si>
  <si>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</si>
  <si>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</si>
  <si>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</si>
  <si>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</si>
  <si>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</si>
  <si>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</si>
  <si>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</si>
  <si>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</si>
  <si>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</si>
  <si>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</si>
  <si>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</si>
  <si>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</si>
  <si>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</si>
  <si>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</si>
  <si>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</si>
  <si>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</si>
  <si>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</si>
  <si>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</si>
  <si>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</si>
  <si>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</si>
  <si>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</si>
  <si>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</si>
  <si>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</si>
  <si>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</si>
  <si>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</si>
  <si>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</si>
  <si>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</si>
  <si>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</si>
  <si>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</si>
  <si>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</si>
  <si>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</si>
  <si>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</si>
  <si>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</si>
  <si>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</si>
  <si>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</si>
  <si>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</si>
  <si>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</si>
  <si>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</si>
  <si>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</si>
  <si>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</si>
  <si>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</si>
  <si>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</si>
  <si>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</si>
  <si>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</si>
  <si>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</si>
  <si>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</si>
  <si>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</si>
  <si>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</si>
  <si>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</si>
  <si>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</si>
  <si>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</si>
  <si>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</si>
  <si>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</si>
  <si>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</si>
  <si>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</si>
  <si>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</si>
  <si>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</si>
  <si>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</si>
  <si>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</si>
  <si>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</si>
  <si>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</si>
  <si>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</si>
  <si>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</si>
  <si>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</si>
  <si>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</si>
  <si>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</si>
  <si>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</si>
  <si>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</si>
  <si>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</si>
  <si>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</si>
  <si>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</si>
  <si>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</si>
  <si>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</si>
  <si>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</si>
  <si>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</si>
  <si>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</si>
  <si>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</si>
  <si>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</si>
  <si>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</si>
  <si>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</si>
  <si>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</si>
  <si>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</si>
  <si>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</si>
  <si>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</si>
  <si>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</si>
  <si>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</si>
  <si>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</si>
  <si>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</si>
  <si>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</si>
  <si>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</si>
  <si>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</si>
  <si>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</si>
  <si>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</si>
  <si>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</si>
  <si>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</si>
  <si>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</si>
  <si>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</si>
  <si>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</si>
  <si>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</si>
  <si>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</si>
  <si>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</si>
  <si>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</si>
  <si>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</si>
  <si>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</si>
  <si>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</si>
  <si>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</si>
  <si>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</si>
  <si>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</si>
  <si>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</si>
  <si>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</si>
  <si>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</si>
  <si>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</si>
  <si>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</si>
  <si>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</si>
  <si>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</si>
  <si>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</si>
  <si>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</si>
  <si>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</si>
  <si>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</si>
  <si>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</si>
  <si>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</si>
  <si>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</si>
  <si>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</si>
  <si>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</si>
  <si>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</si>
  <si>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</si>
  <si>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</si>
  <si>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</si>
  <si>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</si>
  <si>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</si>
  <si>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</si>
  <si>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</si>
  <si>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</si>
  <si>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</si>
  <si>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</si>
  <si>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</si>
  <si>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</si>
  <si>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</si>
  <si>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</si>
  <si>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</si>
  <si>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</si>
  <si>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</si>
  <si>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</si>
  <si>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</si>
  <si>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</si>
  <si>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</si>
  <si>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</si>
  <si>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</si>
  <si>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</si>
  <si>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</si>
  <si>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</si>
  <si>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</si>
  <si>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</si>
  <si>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</si>
  <si>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</si>
  <si>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</si>
  <si>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</si>
  <si>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</si>
  <si>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</si>
  <si>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</si>
  <si>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</si>
  <si>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</si>
  <si>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</si>
  <si>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</si>
  <si>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</si>
  <si>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</si>
  <si>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</si>
  <si>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</si>
  <si>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</si>
  <si>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</si>
  <si>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</si>
  <si>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</si>
  <si>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</si>
  <si>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</si>
  <si>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</si>
  <si>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</si>
  <si>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</si>
  <si>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</si>
  <si>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</si>
  <si>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</si>
  <si>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</si>
  <si>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</si>
  <si>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</si>
  <si>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</si>
  <si>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</si>
  <si>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</si>
  <si>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</si>
  <si>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</si>
  <si>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</si>
  <si>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</si>
  <si>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</si>
  <si>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</si>
  <si>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</si>
  <si>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</si>
  <si>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</si>
  <si>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</si>
  <si>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</si>
  <si>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</si>
  <si>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</si>
  <si>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</si>
  <si>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</si>
  <si>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</si>
  <si>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</si>
  <si>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</si>
  <si>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</si>
  <si>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</si>
  <si>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</si>
  <si>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</si>
  <si>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</si>
  <si>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</si>
  <si>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</si>
  <si>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</si>
  <si>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</si>
  <si>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</si>
  <si>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</si>
  <si>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</si>
  <si>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</si>
  <si>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</si>
  <si>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</si>
  <si>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</si>
  <si>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</si>
  <si>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</si>
  <si>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</si>
  <si>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</si>
  <si>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</si>
  <si>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</si>
  <si>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</si>
  <si>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</si>
  <si>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</si>
  <si>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</si>
  <si>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</si>
  <si>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</si>
  <si>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</si>
  <si>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</si>
  <si>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</si>
  <si>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</si>
  <si>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</si>
  <si>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</si>
  <si>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</si>
  <si>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</si>
  <si>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</si>
  <si>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</si>
  <si>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</si>
  <si>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</si>
  <si>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</si>
  <si>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</si>
  <si>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</si>
  <si>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</si>
  <si>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</si>
  <si>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</si>
  <si>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</si>
  <si>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</si>
  <si>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</si>
  <si>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</si>
  <si>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</si>
  <si>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</si>
  <si>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</si>
  <si>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</si>
  <si>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</si>
  <si>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</si>
  <si>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</si>
  <si>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</si>
  <si>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</si>
  <si>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</si>
  <si>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</si>
  <si>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</si>
  <si>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</si>
  <si>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</si>
  <si>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</si>
  <si>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</si>
  <si>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</si>
  <si>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</si>
  <si>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</si>
  <si>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</si>
  <si>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</si>
  <si>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</si>
  <si>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</si>
  <si>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</si>
  <si>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</si>
  <si>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</si>
  <si>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</si>
  <si>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</si>
  <si>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</si>
  <si>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</si>
  <si>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</si>
  <si>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</si>
  <si>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</si>
  <si>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</si>
  <si>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</si>
  <si>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</si>
  <si>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</si>
  <si>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</si>
  <si>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</si>
  <si>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</si>
  <si>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</si>
  <si>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</si>
  <si>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</si>
  <si>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</si>
  <si>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</si>
  <si>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</si>
  <si>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</si>
  <si>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</si>
  <si>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</si>
  <si>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</si>
  <si>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</si>
  <si>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</si>
  <si>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</si>
  <si>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</si>
  <si>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</si>
  <si>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</si>
  <si>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</si>
  <si>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</si>
  <si>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</si>
  <si>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</si>
  <si>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</si>
  <si>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</si>
  <si>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</si>
  <si>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</si>
  <si>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</si>
  <si>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</si>
  <si>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</si>
  <si>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</si>
  <si>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</si>
  <si>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</si>
  <si>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</si>
  <si>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</si>
  <si>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</si>
  <si>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</si>
  <si>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</si>
  <si>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</si>
  <si>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</si>
  <si>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</si>
  <si>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</si>
  <si>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</si>
  <si>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</si>
  <si>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</si>
  <si>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</si>
  <si>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</si>
  <si>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</si>
  <si>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</si>
  <si>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</si>
  <si>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</si>
  <si>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</si>
  <si>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</si>
  <si>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</si>
  <si>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</si>
  <si>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</si>
  <si>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</si>
  <si>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</si>
  <si>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</si>
  <si>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</si>
  <si>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</si>
  <si>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</si>
  <si>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</si>
  <si>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</si>
  <si>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</si>
  <si>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</si>
  <si>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</si>
  <si>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</si>
  <si>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</si>
  <si>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</si>
  <si>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</si>
  <si>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</si>
  <si>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</si>
  <si>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</si>
  <si>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</si>
  <si>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</si>
  <si>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</si>
  <si>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</si>
  <si>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</si>
  <si>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</si>
  <si>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</si>
  <si>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</si>
  <si>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</si>
  <si>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</si>
  <si>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</si>
  <si>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</si>
  <si>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</si>
  <si>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</si>
  <si>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</si>
  <si>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</si>
  <si>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</si>
  <si>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</si>
  <si>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</si>
  <si>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</si>
  <si>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</si>
  <si>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</si>
  <si>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</si>
  <si>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</si>
  <si>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</si>
  <si>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</si>
  <si>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</si>
  <si>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</si>
  <si>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</si>
  <si>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</si>
  <si>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</si>
  <si>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</si>
  <si>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</si>
  <si>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</si>
  <si>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</si>
  <si>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</si>
  <si>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</si>
  <si>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</si>
  <si>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</si>
  <si>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</si>
  <si>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</si>
  <si>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</si>
  <si>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</si>
  <si>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</si>
  <si>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</si>
  <si>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</si>
  <si>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</si>
  <si>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</si>
  <si>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</si>
  <si>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</si>
  <si>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</si>
  <si>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</si>
  <si>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</si>
  <si>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</si>
  <si>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</si>
  <si>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</si>
  <si>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</si>
  <si>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</si>
  <si>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</si>
  <si>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</si>
  <si>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</si>
  <si>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</si>
  <si>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</si>
  <si>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</si>
  <si>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</si>
  <si>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</si>
  <si>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</si>
  <si>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</si>
  <si>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</si>
  <si>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</si>
  <si>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</si>
  <si>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</si>
  <si>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</si>
  <si>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</si>
  <si>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</si>
  <si>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</si>
  <si>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</si>
  <si>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</si>
  <si>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</si>
  <si>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</si>
  <si>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</si>
  <si>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</si>
  <si>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</si>
  <si>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</si>
  <si>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</si>
  <si>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</si>
  <si>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</si>
  <si>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</si>
  <si>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</si>
  <si>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</si>
  <si>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</si>
  <si>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</si>
  <si>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</si>
  <si>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</si>
  <si>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</si>
  <si>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</si>
  <si>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</si>
  <si>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</si>
  <si>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</si>
  <si>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</si>
  <si>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</si>
  <si>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</si>
  <si>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</si>
  <si>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</si>
  <si>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</si>
  <si>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</si>
  <si>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</si>
  <si>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</si>
  <si>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</si>
  <si>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</si>
  <si>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</si>
  <si>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</si>
  <si>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</si>
  <si>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</si>
  <si>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</si>
  <si>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</si>
  <si>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</si>
  <si>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</si>
  <si>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</si>
  <si>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</si>
  <si>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</si>
  <si>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</si>
  <si>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</si>
  <si>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</si>
  <si>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</si>
  <si>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</si>
  <si>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</si>
  <si>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</si>
  <si>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</si>
  <si>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</si>
  <si>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</si>
  <si>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</si>
  <si>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</si>
  <si>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</si>
  <si>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</si>
  <si>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</si>
  <si>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</si>
  <si>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</si>
  <si>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</si>
  <si>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</si>
  <si>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</si>
  <si>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</si>
  <si>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</si>
  <si>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</si>
  <si>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</si>
  <si>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</si>
  <si>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</si>
  <si>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</si>
  <si>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</si>
  <si>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</si>
  <si>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</si>
  <si>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</si>
  <si>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</si>
  <si>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</si>
  <si>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</si>
  <si>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</si>
  <si>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</si>
  <si>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</si>
  <si>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</si>
  <si>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</si>
  <si>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</si>
  <si>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</si>
  <si>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</si>
  <si>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</si>
  <si>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</si>
  <si>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</si>
  <si>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</si>
  <si>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</si>
  <si>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</si>
  <si>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</si>
  <si>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</si>
  <si>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</si>
  <si>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</si>
  <si>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</si>
  <si>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</si>
  <si>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</si>
  <si>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</si>
  <si>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</si>
  <si>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</si>
  <si>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</si>
  <si>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</si>
  <si>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</si>
  <si>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</si>
  <si>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</si>
  <si>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</si>
  <si>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</si>
  <si>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</si>
  <si>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</si>
  <si>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</si>
  <si>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</si>
  <si>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</si>
  <si>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</si>
  <si>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</si>
  <si>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</si>
  <si>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</si>
  <si>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</si>
  <si>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</si>
  <si>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</si>
  <si>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</si>
  <si>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</si>
  <si>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</si>
  <si>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</si>
  <si>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</si>
  <si>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</si>
  <si>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</si>
  <si>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</si>
  <si>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</si>
  <si>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</si>
  <si>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</si>
  <si>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</si>
  <si>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</si>
  <si>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</si>
  <si>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</si>
  <si>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</si>
  <si>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</si>
  <si>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</si>
  <si>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</si>
  <si>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</si>
  <si>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</si>
  <si>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</si>
  <si>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</si>
  <si>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</si>
  <si>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</si>
  <si>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</si>
  <si>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</si>
  <si>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</si>
  <si>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</si>
  <si>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</si>
  <si>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</si>
  <si>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</si>
  <si>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</si>
  <si>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</si>
  <si>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</si>
  <si>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</si>
  <si>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</si>
  <si>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</si>
  <si>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</si>
  <si>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</si>
  <si>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</si>
  <si>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</si>
  <si>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</si>
  <si>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</si>
  <si>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</si>
  <si>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</si>
  <si>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</si>
  <si>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</si>
  <si>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</si>
  <si>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</si>
  <si>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</si>
  <si>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</si>
  <si>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</si>
  <si>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</si>
  <si>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</si>
  <si>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</si>
  <si>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</si>
  <si>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</si>
  <si>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</si>
  <si>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</si>
  <si>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</si>
  <si>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</si>
  <si>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</si>
  <si>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</si>
  <si>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</si>
  <si>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</si>
  <si>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</si>
  <si>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</si>
  <si>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</si>
  <si>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</si>
  <si>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</si>
  <si>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</si>
  <si>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</si>
  <si>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</si>
  <si>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</si>
  <si>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</si>
  <si>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</si>
  <si>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</si>
  <si>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</si>
  <si>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</si>
  <si>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</si>
  <si>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</si>
  <si>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</si>
  <si>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</si>
  <si>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</si>
  <si>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</si>
  <si>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</si>
  <si>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</si>
  <si>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</si>
  <si>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</si>
  <si>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</si>
  <si>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</si>
  <si>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</si>
  <si>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</si>
  <si>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</si>
  <si>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</si>
  <si>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</si>
  <si>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</si>
  <si>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</si>
  <si>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</si>
  <si>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</si>
  <si>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</si>
  <si>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</si>
  <si>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</si>
  <si>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</si>
  <si>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</si>
  <si>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</si>
  <si>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</si>
  <si>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</si>
  <si>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</si>
  <si>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</si>
  <si>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</si>
  <si>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</si>
  <si>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</si>
  <si>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</si>
  <si>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</si>
  <si>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</si>
  <si>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</si>
  <si>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</si>
  <si>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</si>
  <si>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</si>
  <si>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</si>
  <si>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</si>
  <si>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</si>
  <si>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</si>
  <si>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</si>
  <si>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</si>
  <si>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</si>
  <si>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</si>
  <si>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</si>
  <si>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</si>
  <si>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</si>
  <si>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</si>
  <si>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</si>
  <si>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</si>
  <si>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</si>
  <si>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</si>
  <si>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</si>
  <si>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</si>
  <si>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</si>
  <si>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</si>
  <si>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</si>
  <si>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</si>
  <si>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</si>
  <si>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</si>
  <si>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</si>
  <si>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</si>
  <si>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</si>
  <si>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</si>
  <si>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</si>
  <si>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</si>
  <si>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</si>
  <si>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</si>
  <si>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</si>
  <si>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</si>
  <si>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</si>
  <si>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</si>
  <si>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</si>
  <si>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</si>
  <si>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</si>
  <si>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</si>
  <si>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</si>
  <si>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</si>
  <si>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</si>
  <si>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</si>
  <si>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</si>
  <si>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</si>
  <si>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</si>
  <si>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</si>
  <si>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</si>
  <si>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</si>
  <si>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</si>
  <si>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</si>
  <si>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</si>
  <si>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</si>
  <si>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</si>
  <si>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</si>
  <si>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</si>
  <si>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</si>
  <si>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</si>
  <si>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</si>
  <si>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</si>
  <si>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</si>
  <si>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</si>
  <si>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</si>
  <si>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</si>
  <si>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</si>
  <si>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</si>
  <si>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</si>
  <si>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</si>
  <si>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</si>
  <si>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</si>
  <si>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</si>
  <si>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</si>
  <si>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</si>
  <si>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</si>
  <si>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</si>
  <si>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</si>
  <si>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</si>
  <si>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</si>
  <si>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</si>
  <si>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</si>
  <si>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</si>
  <si>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</si>
  <si>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</si>
  <si>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</si>
  <si>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</si>
  <si>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</si>
  <si>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</si>
  <si>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</si>
  <si>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</si>
  <si>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</si>
  <si>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</si>
  <si>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</si>
  <si>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</si>
  <si>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</si>
  <si>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</si>
  <si>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</si>
  <si>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</si>
  <si>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</si>
  <si>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</si>
  <si>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</si>
  <si>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</si>
  <si>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</si>
  <si>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</si>
  <si>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</si>
  <si>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</si>
  <si>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</si>
  <si>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</si>
  <si>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</si>
  <si>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</si>
  <si>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</si>
  <si>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</si>
  <si>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</si>
  <si>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</si>
  <si>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</si>
  <si>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</si>
  <si>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</si>
  <si>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</si>
  <si>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</si>
  <si>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</si>
  <si>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</si>
  <si>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</si>
  <si>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</si>
  <si>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</si>
  <si>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</si>
  <si>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</si>
  <si>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</si>
  <si>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</si>
  <si>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</si>
  <si>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</si>
  <si>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</si>
  <si>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</si>
  <si>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</si>
  <si>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</si>
  <si>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</si>
  <si>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</si>
  <si>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</si>
  <si>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</si>
  <si>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</si>
  <si>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</si>
  <si>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</si>
  <si>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</si>
  <si>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</si>
  <si>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</si>
  <si>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</si>
  <si>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</si>
  <si>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</si>
  <si>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</si>
  <si>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</si>
  <si>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</si>
  <si>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</si>
  <si>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</si>
  <si>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</si>
  <si>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</si>
  <si>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</si>
  <si>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</si>
  <si>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</si>
  <si>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</si>
  <si>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</si>
  <si>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</si>
  <si>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</si>
  <si>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</si>
  <si>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</si>
  <si>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</si>
  <si>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</si>
  <si>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</si>
  <si>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</si>
  <si>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</si>
  <si>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</si>
  <si>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</si>
  <si>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</si>
  <si>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</si>
  <si>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</si>
  <si>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</si>
  <si>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</si>
  <si>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</si>
  <si>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</si>
  <si>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</si>
  <si>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</si>
  <si>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</si>
  <si>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</si>
  <si>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</si>
  <si>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</si>
  <si>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</si>
  <si>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</si>
  <si>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</si>
  <si>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</si>
  <si>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</si>
  <si>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</si>
  <si>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</si>
  <si>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</si>
  <si>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</si>
  <si>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</si>
  <si>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</si>
  <si>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</si>
  <si>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</si>
  <si>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</si>
  <si>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</si>
  <si>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</si>
  <si>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</si>
  <si>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</si>
  <si>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</si>
  <si>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</si>
  <si>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</si>
  <si>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</si>
  <si>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</si>
  <si>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</si>
  <si>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</si>
  <si>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</si>
  <si>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</si>
  <si>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</si>
  <si>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</si>
  <si>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</si>
  <si>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</si>
  <si>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</si>
  <si>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</si>
  <si>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</si>
  <si>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</si>
  <si>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</si>
  <si>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</si>
  <si>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</si>
  <si>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</si>
  <si>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</si>
  <si>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</si>
  <si>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</si>
  <si>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</si>
  <si>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</si>
  <si>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</si>
  <si>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</si>
  <si>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</si>
  <si>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</si>
  <si>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</si>
  <si>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</si>
  <si>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</si>
  <si>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</si>
  <si>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</si>
  <si>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</si>
  <si>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</si>
  <si>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</si>
  <si>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</si>
  <si>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</si>
  <si>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</si>
  <si>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</si>
  <si>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</si>
  <si>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</si>
  <si>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</si>
  <si>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</si>
  <si>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</si>
  <si>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</si>
  <si>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</si>
  <si>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</si>
  <si>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</si>
  <si>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</si>
  <si>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</si>
  <si>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</si>
  <si>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</si>
  <si>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</si>
  <si>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</si>
  <si>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</si>
  <si>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</si>
  <si>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</si>
  <si>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</si>
  <si>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</si>
  <si>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</si>
  <si>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</si>
  <si>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</si>
  <si>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</si>
  <si>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</si>
  <si>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</si>
  <si>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</si>
  <si>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</si>
  <si>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</si>
  <si>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</si>
  <si>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</si>
  <si>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</si>
  <si>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</si>
  <si>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</si>
  <si>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</si>
  <si>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</si>
  <si>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</si>
  <si>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</si>
  <si>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</si>
  <si>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</si>
  <si>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</si>
  <si>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</si>
  <si>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</si>
  <si>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</si>
  <si>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</si>
  <si>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</si>
  <si>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</si>
  <si>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</si>
  <si>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</si>
  <si>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</si>
  <si>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</si>
  <si>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</si>
  <si>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</si>
  <si>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</si>
  <si>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</si>
  <si>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</si>
  <si>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</si>
  <si>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</si>
  <si>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</si>
  <si>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</si>
  <si>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</si>
  <si>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</si>
  <si>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</si>
  <si>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</si>
  <si>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</si>
  <si>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</si>
  <si>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</si>
  <si>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</si>
  <si>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</si>
  <si>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</si>
  <si>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</si>
  <si>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</si>
  <si>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</si>
  <si>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</si>
  <si>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</si>
  <si>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</si>
  <si>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</si>
  <si>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</si>
  <si>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</si>
  <si>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</si>
  <si>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</si>
  <si>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</si>
  <si>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</si>
  <si>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</si>
  <si>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</si>
  <si>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</si>
  <si>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</si>
  <si>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</si>
  <si>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</si>
  <si>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</si>
  <si>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</si>
  <si>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</si>
  <si>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</si>
  <si>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</si>
  <si>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</si>
  <si>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</si>
  <si>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</si>
  <si>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</si>
  <si>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</si>
  <si>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</si>
  <si>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</si>
  <si>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</si>
  <si>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</si>
  <si>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</si>
  <si>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</si>
  <si>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</si>
  <si>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</si>
  <si>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</si>
  <si>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</si>
  <si>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</si>
  <si>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</si>
  <si>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</si>
  <si>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</si>
  <si>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</si>
  <si>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</si>
  <si>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</si>
  <si>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</si>
  <si>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</si>
  <si>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</si>
  <si>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</si>
  <si>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</si>
  <si>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</si>
  <si>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</si>
  <si>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</si>
  <si>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</si>
  <si>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</si>
  <si>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</si>
  <si>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</si>
  <si>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</si>
  <si>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</si>
  <si>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</si>
  <si>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</si>
  <si>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</si>
  <si>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</si>
  <si>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</si>
  <si>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</si>
  <si>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</si>
  <si>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</si>
  <si>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</si>
  <si>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</si>
  <si>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</si>
  <si>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</si>
  <si>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</si>
  <si>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</si>
  <si>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</si>
  <si>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</si>
  <si>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</si>
  <si>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</si>
  <si>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</si>
  <si>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</si>
  <si>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</si>
  <si>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</si>
  <si>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</si>
  <si>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</si>
  <si>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</si>
  <si>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</si>
  <si>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</si>
  <si>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</si>
  <si>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</si>
  <si>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</si>
  <si>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</si>
  <si>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</si>
  <si>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</si>
  <si>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</si>
  <si>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</si>
  <si>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</si>
  <si>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</si>
  <si>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</si>
  <si>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</si>
  <si>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</si>
  <si>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</si>
  <si>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</si>
  <si>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</si>
  <si>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</si>
  <si>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</si>
  <si>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</si>
  <si>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</si>
  <si>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</si>
  <si>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</si>
  <si>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</si>
  <si>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</si>
  <si>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</si>
  <si>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</si>
  <si>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</si>
  <si>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</si>
  <si>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</si>
  <si>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</si>
  <si>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</si>
  <si>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</si>
  <si>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</si>
  <si>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</si>
  <si>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</si>
  <si>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</si>
  <si>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</si>
  <si>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</si>
  <si>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</si>
  <si>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</si>
  <si>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</si>
  <si>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</si>
  <si>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</si>
  <si>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</si>
  <si>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</si>
  <si>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</si>
  <si>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</si>
  <si>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</si>
  <si>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</si>
  <si>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</si>
  <si>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</si>
  <si>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</si>
  <si>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</si>
  <si>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</si>
  <si>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</si>
  <si>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</si>
  <si>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</si>
  <si>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</si>
  <si>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</si>
  <si>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</si>
  <si>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</si>
  <si>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</si>
  <si>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</si>
  <si>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</si>
  <si>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</si>
  <si>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</si>
  <si>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</si>
  <si>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</si>
  <si>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</si>
  <si>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</si>
  <si>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</si>
  <si>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</si>
  <si>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</si>
  <si>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</si>
  <si>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</si>
  <si>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</si>
  <si>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</si>
  <si>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</si>
  <si>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</si>
  <si>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</si>
  <si>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</si>
  <si>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</si>
  <si>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</si>
  <si>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</si>
  <si>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</si>
  <si>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</si>
  <si>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</si>
  <si>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</si>
  <si>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</si>
  <si>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</si>
  <si>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</si>
  <si>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</si>
  <si>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</si>
  <si>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</si>
  <si>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</si>
  <si>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</si>
  <si>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</si>
  <si>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</si>
  <si>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</si>
  <si>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</si>
  <si>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</si>
  <si>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</si>
  <si>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</si>
  <si>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</si>
  <si>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</si>
  <si>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</si>
  <si>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</si>
  <si>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</si>
  <si>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</si>
  <si>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</si>
  <si>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</si>
  <si>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</si>
  <si>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</si>
  <si>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</si>
  <si>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</si>
  <si>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</si>
  <si>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</si>
  <si>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</si>
  <si>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</si>
  <si>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</si>
  <si>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</si>
  <si>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</si>
  <si>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</si>
  <si>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</si>
  <si>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</si>
  <si>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</si>
  <si>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</si>
  <si>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</si>
  <si>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</si>
  <si>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</si>
  <si>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</si>
  <si>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</si>
  <si>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</si>
  <si>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</si>
  <si>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</si>
  <si>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</si>
  <si>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</si>
  <si>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</si>
  <si>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</si>
  <si>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</si>
  <si>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</si>
  <si>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</si>
  <si>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</si>
  <si>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</si>
  <si>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</si>
  <si>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</si>
  <si>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</si>
  <si>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</si>
  <si>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</si>
  <si>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</si>
  <si>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</si>
  <si>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</si>
  <si>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</si>
  <si>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</si>
  <si>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</si>
  <si>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</si>
  <si>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</si>
  <si>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</si>
  <si>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</si>
  <si>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</si>
  <si>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</si>
  <si>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</si>
  <si>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</si>
  <si>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</si>
  <si>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</si>
  <si>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</si>
  <si>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</si>
  <si>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</si>
  <si>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</si>
  <si>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</si>
  <si>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</si>
  <si>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</si>
  <si>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</si>
  <si>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</si>
  <si>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</si>
  <si>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</si>
  <si>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</si>
  <si>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</si>
  <si>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</si>
  <si>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</si>
  <si>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</si>
  <si>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</si>
  <si>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</si>
  <si>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</si>
  <si>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</si>
  <si>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</si>
  <si>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</si>
  <si>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</si>
  <si>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</si>
  <si>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</si>
  <si>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</si>
  <si>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</si>
  <si>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</si>
  <si>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</si>
  <si>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</si>
  <si>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</si>
  <si>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</si>
  <si>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</si>
  <si>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</si>
  <si>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</si>
  <si>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</si>
  <si>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</si>
  <si>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</si>
  <si>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</si>
  <si>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</si>
  <si>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</si>
  <si>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</si>
  <si>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</si>
  <si>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</si>
  <si>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</si>
  <si>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</si>
  <si>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</si>
  <si>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</si>
  <si>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</si>
  <si>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</si>
  <si>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</si>
  <si>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</si>
  <si>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</si>
  <si>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</si>
  <si>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</si>
  <si>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</si>
  <si>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</si>
  <si>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</si>
  <si>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</si>
  <si>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</si>
  <si>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</si>
  <si>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</si>
  <si>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</si>
  <si>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</si>
  <si>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</si>
  <si>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</si>
  <si>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</si>
  <si>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</si>
  <si>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</si>
  <si>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</si>
  <si>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</si>
  <si>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</si>
  <si>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</si>
  <si>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</si>
  <si>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</si>
  <si>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</si>
  <si>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</si>
  <si>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</si>
  <si>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</si>
  <si>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</si>
  <si>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</si>
  <si>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</si>
  <si>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</si>
  <si>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</si>
  <si>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</si>
  <si>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</si>
  <si>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</si>
  <si>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</si>
  <si>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</si>
  <si>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</si>
  <si>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</si>
  <si>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</si>
  <si>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</si>
  <si>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</si>
  <si>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</si>
  <si>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</si>
  <si>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</si>
  <si>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</si>
  <si>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</si>
  <si>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</si>
  <si>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</si>
  <si>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</si>
  <si>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</si>
  <si>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</si>
  <si>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</si>
  <si>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</si>
  <si>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</si>
  <si>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</si>
  <si>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</si>
  <si>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</si>
  <si>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</si>
  <si>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</si>
  <si>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</si>
  <si>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</si>
  <si>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</si>
  <si>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</si>
  <si>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</si>
  <si>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</si>
  <si>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</si>
  <si>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</si>
  <si>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</si>
  <si>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</si>
  <si>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</si>
  <si>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</si>
  <si>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</si>
  <si>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</si>
  <si>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</si>
  <si>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</si>
  <si>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</si>
  <si>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</si>
  <si>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</si>
  <si>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</si>
  <si>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</si>
  <si>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</si>
  <si>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</si>
  <si>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</si>
  <si>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</si>
  <si>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</si>
  <si>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</si>
  <si>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</si>
  <si>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</si>
  <si>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</si>
  <si>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</si>
  <si>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</si>
  <si>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</si>
  <si>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</si>
  <si>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</si>
  <si>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</si>
  <si>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</si>
  <si>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</si>
  <si>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</si>
  <si>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</si>
  <si>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</si>
  <si>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</si>
  <si>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</si>
  <si>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</si>
  <si>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</si>
  <si>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</si>
  <si>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</si>
  <si>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</si>
  <si>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</si>
  <si>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</si>
  <si>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</si>
  <si>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</si>
  <si>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</si>
  <si>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</si>
  <si>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</si>
  <si>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</si>
  <si>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</si>
  <si>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</si>
  <si>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</si>
  <si>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</si>
  <si>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</si>
  <si>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</si>
  <si>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</si>
  <si>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</si>
  <si>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</si>
  <si>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</si>
  <si>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</si>
  <si>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</si>
  <si>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</si>
  <si>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</si>
  <si>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</si>
  <si>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</si>
  <si>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</si>
  <si>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</si>
  <si>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</si>
  <si>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</si>
  <si>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</si>
  <si>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</si>
  <si>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</si>
  <si>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</si>
  <si>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</si>
  <si>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</si>
  <si>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</si>
  <si>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</si>
  <si>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</si>
  <si>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</si>
  <si>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</si>
  <si>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</si>
  <si>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</si>
  <si>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</si>
  <si>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</si>
  <si>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</si>
  <si>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</si>
  <si>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</si>
  <si>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</si>
  <si>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</si>
  <si>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</si>
  <si>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</si>
  <si>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</si>
  <si>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</si>
  <si>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</si>
  <si>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</si>
  <si>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</si>
  <si>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</si>
  <si>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</si>
  <si>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</si>
  <si>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</si>
  <si>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</si>
  <si>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</si>
  <si>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</si>
  <si>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</si>
  <si>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</si>
  <si>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</si>
  <si>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</si>
  <si>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</si>
  <si>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</si>
  <si>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</si>
  <si>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</si>
  <si>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</si>
  <si>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</si>
  <si>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</si>
  <si>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</si>
  <si>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</si>
  <si>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</si>
  <si>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</si>
  <si>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</si>
  <si>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</si>
  <si>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</si>
  <si>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</si>
  <si>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</si>
  <si>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</si>
  <si>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</si>
  <si>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</si>
  <si>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</si>
  <si>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</si>
  <si>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</si>
  <si>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</si>
  <si>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</si>
  <si>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</si>
  <si>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</si>
  <si>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</si>
  <si>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</si>
  <si>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</si>
  <si>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</si>
  <si>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</si>
  <si>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</si>
  <si>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</si>
  <si>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</si>
  <si>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</si>
  <si>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</si>
  <si>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</si>
  <si>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</si>
  <si>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</si>
  <si>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</si>
  <si>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</si>
  <si>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</si>
  <si>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</si>
  <si>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</si>
  <si>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</si>
  <si>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</si>
  <si>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</si>
  <si>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</si>
  <si>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</si>
  <si>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</si>
  <si>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</si>
  <si>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</si>
  <si>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</si>
  <si>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</si>
  <si>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</si>
  <si>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</si>
  <si>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</si>
  <si>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</si>
  <si>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</si>
  <si>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</si>
  <si>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</si>
  <si>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</si>
  <si>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</si>
  <si>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</si>
  <si>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</si>
  <si>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</si>
  <si>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</si>
  <si>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</si>
  <si>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</si>
  <si>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</si>
  <si>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</si>
  <si>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</si>
  <si>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</si>
  <si>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</si>
  <si>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</si>
  <si>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</si>
  <si>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</si>
  <si>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</si>
  <si>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</si>
  <si>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</si>
  <si>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</si>
  <si>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</si>
  <si>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</si>
  <si>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</si>
  <si>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</si>
  <si>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</si>
  <si>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</si>
  <si>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</si>
  <si>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</si>
  <si>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</si>
  <si>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</si>
  <si>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</si>
  <si>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</si>
  <si>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</si>
  <si>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</si>
  <si>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</si>
  <si>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</si>
  <si>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</si>
  <si>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</si>
  <si>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</si>
  <si>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</si>
  <si>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</si>
  <si>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</si>
  <si>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</si>
  <si>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</si>
  <si>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</si>
  <si>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</si>
  <si>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</si>
  <si>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</si>
  <si>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</si>
  <si>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</si>
  <si>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</si>
  <si>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</si>
  <si>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</si>
  <si>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</si>
  <si>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</si>
  <si>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</si>
  <si>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</si>
  <si>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</si>
  <si>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</si>
  <si>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</si>
  <si>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</si>
  <si>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</si>
  <si>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</si>
  <si>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</si>
  <si>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</si>
  <si>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</si>
  <si>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</si>
  <si>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</si>
  <si>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</si>
  <si>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</si>
  <si>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</si>
  <si>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</si>
  <si>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</si>
  <si>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</si>
  <si>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</si>
  <si>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</si>
  <si>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</si>
  <si>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</si>
  <si>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</si>
  <si>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</si>
  <si>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</si>
  <si>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</si>
  <si>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</si>
  <si>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</si>
  <si>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</si>
  <si>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</si>
  <si>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</si>
  <si>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</si>
  <si>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</si>
  <si>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</si>
  <si>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</si>
  <si>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</si>
  <si>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</si>
  <si>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</si>
  <si>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</si>
  <si>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</si>
  <si>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</si>
  <si>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</si>
  <si>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</si>
  <si>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</si>
  <si>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</si>
  <si>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</si>
  <si>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</si>
  <si>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</si>
  <si>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</si>
  <si>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</si>
  <si>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</si>
  <si>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</si>
  <si>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</si>
  <si>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</si>
  <si>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</si>
  <si>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</si>
  <si>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</si>
  <si>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</si>
  <si>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</si>
  <si>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</si>
  <si>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</si>
  <si>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</si>
  <si>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</si>
  <si>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</si>
  <si>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</si>
  <si>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</si>
  <si>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</si>
  <si>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</si>
  <si>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</si>
  <si>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</si>
  <si>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</si>
  <si>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</si>
  <si>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</si>
  <si>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</si>
  <si>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</si>
  <si>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</si>
  <si>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</si>
  <si>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</si>
  <si>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</si>
  <si>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</si>
  <si>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</si>
  <si>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</si>
  <si>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</si>
  <si>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</si>
  <si>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</si>
  <si>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</si>
  <si>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</si>
  <si>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</si>
  <si>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</si>
  <si>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</si>
  <si>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</si>
  <si>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</si>
  <si>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</si>
  <si>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</si>
  <si>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</si>
  <si>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</si>
  <si>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</si>
  <si>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</si>
  <si>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</si>
  <si>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</si>
  <si>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</si>
  <si>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</si>
  <si>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</si>
  <si>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</si>
  <si>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</si>
  <si>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</si>
  <si>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</si>
  <si>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</si>
  <si>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</si>
  <si>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</si>
  <si>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</si>
  <si>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</si>
  <si>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</si>
  <si>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</si>
  <si>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</si>
  <si>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</si>
  <si>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</si>
  <si>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</si>
  <si>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</si>
  <si>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</si>
  <si>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</si>
  <si>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</si>
  <si>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</si>
  <si>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</si>
  <si>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</si>
  <si>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</si>
  <si>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</si>
  <si>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</si>
  <si>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</si>
  <si>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</si>
  <si>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</si>
  <si>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</si>
  <si>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</si>
  <si>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</si>
  <si>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</si>
  <si>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</si>
  <si>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</si>
  <si>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</si>
  <si>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</si>
  <si>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</si>
  <si>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</si>
  <si>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</si>
  <si>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</si>
  <si>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</si>
  <si>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</si>
  <si>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</si>
  <si>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</si>
  <si>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</si>
  <si>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</si>
  <si>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</si>
  <si>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</si>
  <si>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</si>
  <si>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</si>
  <si>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</si>
  <si>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</si>
  <si>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</si>
  <si>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</si>
  <si>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</si>
  <si>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</si>
  <si>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</si>
  <si>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</si>
  <si>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</si>
  <si>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</si>
  <si>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</si>
  <si>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</si>
  <si>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</si>
  <si>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</si>
  <si>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</si>
  <si>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</si>
  <si>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</si>
  <si>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</si>
  <si>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</si>
  <si>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</si>
  <si>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</si>
  <si>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</si>
  <si>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</si>
  <si>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</si>
  <si>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</si>
  <si>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</si>
  <si>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</si>
  <si>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</si>
  <si>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</si>
  <si>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</si>
  <si>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</si>
  <si>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</si>
  <si>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</si>
  <si>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</si>
  <si>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</si>
  <si>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</si>
  <si>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</si>
  <si>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</si>
  <si>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</si>
  <si>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</si>
  <si>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</si>
  <si>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</si>
  <si>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</si>
  <si>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</si>
  <si>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</si>
  <si>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</si>
  <si>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</si>
  <si>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</si>
  <si>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</si>
  <si>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</si>
  <si>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</si>
  <si>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</si>
  <si>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</si>
  <si>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</si>
  <si>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</si>
  <si>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</si>
  <si>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</si>
  <si>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</si>
  <si>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</si>
  <si>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</si>
  <si>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</si>
  <si>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</si>
  <si>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</si>
  <si>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</si>
  <si>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</si>
  <si>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</si>
  <si>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</si>
  <si>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</si>
  <si>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</si>
  <si>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</si>
  <si>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</si>
  <si>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</si>
  <si>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</si>
  <si>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</si>
  <si>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</si>
  <si>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</si>
  <si>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</si>
  <si>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</si>
  <si>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</si>
  <si>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</si>
  <si>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</si>
  <si>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</si>
  <si>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</si>
  <si>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</si>
  <si>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</si>
  <si>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</si>
  <si>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</si>
  <si>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</si>
  <si>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</si>
  <si>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</si>
  <si>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</si>
  <si>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</si>
  <si>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</si>
  <si>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</si>
  <si>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</si>
  <si>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</si>
  <si>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</si>
  <si>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</si>
  <si>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</si>
  <si>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</si>
  <si>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</si>
  <si>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</si>
  <si>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</si>
  <si>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</si>
  <si>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</si>
  <si>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</si>
  <si>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</si>
  <si>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</si>
  <si>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</si>
  <si>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</si>
  <si>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</si>
  <si>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</si>
  <si>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</si>
  <si>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</si>
  <si>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</si>
  <si>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</si>
  <si>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</si>
  <si>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</si>
  <si>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</si>
  <si>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</si>
  <si>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</si>
  <si>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</si>
  <si>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</si>
  <si>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</si>
  <si>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</si>
  <si>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</si>
  <si>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</si>
  <si>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</si>
  <si>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</si>
  <si>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</si>
  <si>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</si>
  <si>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</si>
  <si>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</si>
  <si>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</si>
  <si>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</si>
  <si>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</si>
  <si>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</si>
  <si>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</si>
  <si>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</si>
  <si>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</si>
  <si>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</si>
  <si>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</si>
  <si>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</si>
  <si>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</si>
  <si>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</si>
  <si>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</si>
  <si>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</si>
  <si>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</si>
  <si>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</si>
  <si>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</si>
  <si>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</si>
  <si>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</si>
  <si>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</si>
  <si>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</si>
  <si>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</si>
  <si>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</si>
  <si>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</si>
  <si>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</si>
  <si>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</si>
  <si>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</si>
  <si>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</si>
  <si>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</si>
  <si>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</si>
  <si>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</si>
  <si>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</si>
  <si>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</si>
  <si>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</si>
  <si>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</si>
  <si>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</si>
  <si>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</si>
  <si>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</si>
  <si>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</si>
  <si>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</si>
  <si>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</si>
  <si>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</si>
  <si>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</si>
  <si>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</si>
  <si>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</si>
  <si>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</si>
  <si>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</si>
  <si>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</si>
  <si>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</si>
  <si>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</si>
  <si>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</si>
  <si>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</si>
  <si>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</si>
  <si>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</si>
  <si>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</si>
  <si>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</si>
  <si>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</si>
  <si>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</si>
  <si>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</si>
  <si>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</si>
  <si>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</si>
  <si>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</si>
  <si>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</si>
  <si>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</si>
  <si>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</si>
  <si>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</si>
  <si>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</si>
  <si>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</si>
  <si>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</si>
  <si>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</si>
  <si>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</si>
  <si>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</si>
  <si>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</si>
  <si>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</si>
  <si>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</si>
  <si>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</si>
  <si>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</si>
  <si>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</si>
  <si>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</si>
  <si>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</si>
  <si>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</si>
  <si>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</si>
  <si>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</si>
  <si>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</si>
  <si>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</si>
  <si>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</si>
  <si>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</si>
  <si>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</si>
  <si>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</si>
  <si>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</si>
  <si>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</si>
  <si>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</si>
  <si>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</si>
  <si>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</si>
  <si>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</si>
  <si>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</si>
  <si>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</si>
  <si>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</si>
  <si>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</si>
  <si>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</si>
  <si>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</si>
  <si>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</si>
  <si>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</si>
  <si>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</si>
  <si>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</si>
  <si>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</si>
  <si>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</si>
  <si>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</si>
  <si>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</si>
  <si>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</si>
  <si>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</si>
  <si>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</si>
  <si>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</si>
  <si>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</si>
  <si>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</si>
  <si>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</si>
  <si>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</si>
  <si>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</si>
  <si>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</si>
  <si>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</si>
  <si>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</si>
  <si>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</si>
  <si>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</si>
  <si>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</si>
  <si>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</si>
  <si>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</si>
  <si>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</si>
  <si>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</si>
  <si>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</si>
  <si>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</si>
  <si>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</si>
  <si>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</si>
  <si>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</si>
  <si>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</si>
  <si>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</si>
  <si>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</si>
  <si>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</si>
  <si>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</si>
  <si>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</si>
  <si>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</si>
  <si>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</si>
  <si>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</si>
  <si>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</si>
  <si>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</si>
  <si>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</si>
  <si>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</si>
  <si>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</si>
  <si>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</si>
  <si>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</si>
  <si>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</si>
  <si>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</si>
  <si>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</si>
  <si>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</si>
  <si>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</si>
  <si>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</si>
  <si>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</si>
  <si>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</si>
  <si>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</si>
  <si>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</si>
  <si>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</si>
  <si>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</si>
  <si>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</si>
  <si>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</si>
  <si>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</si>
  <si>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</si>
  <si>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</si>
  <si>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</si>
  <si>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</si>
  <si>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</si>
  <si>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</si>
  <si>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</si>
  <si>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</si>
  <si>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</si>
  <si>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</si>
  <si>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</si>
  <si>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</si>
  <si>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</si>
  <si>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</si>
  <si>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</si>
  <si>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</si>
  <si>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</si>
  <si>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</si>
  <si>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</si>
  <si>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</si>
  <si>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</si>
  <si>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</si>
  <si>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</si>
  <si>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</si>
  <si>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</si>
  <si>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</si>
  <si>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</si>
  <si>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</si>
  <si>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</si>
  <si>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</si>
  <si>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</si>
  <si>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</si>
  <si>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</si>
  <si>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</si>
  <si>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</si>
  <si>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</si>
  <si>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</si>
  <si>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</si>
  <si>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</si>
  <si>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</si>
  <si>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</si>
  <si>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</si>
  <si>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</si>
  <si>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</si>
  <si>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</si>
  <si>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</si>
  <si>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</si>
  <si>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</si>
  <si>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</si>
  <si>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</si>
  <si>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</si>
  <si>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</si>
  <si>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</si>
  <si>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</si>
  <si>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</si>
  <si>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</si>
  <si>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</si>
  <si>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</si>
  <si>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</si>
  <si>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</si>
  <si>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</si>
  <si>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</si>
  <si>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</si>
  <si>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</si>
  <si>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</si>
  <si>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</si>
  <si>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</si>
  <si>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</si>
  <si>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</si>
  <si>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</si>
  <si>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</si>
  <si>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</si>
  <si>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</si>
  <si>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</si>
  <si>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</si>
  <si>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</si>
  <si>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</si>
  <si>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</si>
  <si>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</si>
  <si>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</si>
  <si>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</si>
  <si>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</si>
  <si>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</si>
  <si>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</si>
  <si>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</si>
  <si>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</si>
  <si>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</si>
  <si>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</si>
  <si>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</si>
  <si>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</si>
  <si>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</si>
  <si>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</si>
  <si>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</si>
  <si>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</si>
  <si>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</si>
  <si>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</si>
  <si>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</si>
  <si>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</si>
  <si>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</si>
  <si>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</si>
  <si>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</si>
  <si>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</si>
  <si>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</si>
  <si>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</si>
  <si>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</si>
  <si>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</si>
  <si>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</si>
  <si>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</si>
  <si>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</si>
  <si>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</si>
  <si>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</si>
  <si>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</si>
  <si>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</si>
  <si>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</si>
  <si>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</si>
  <si>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</si>
  <si>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</si>
  <si>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</si>
  <si>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</si>
  <si>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</si>
  <si>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</si>
  <si>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</si>
  <si>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</si>
  <si>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</si>
  <si>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</si>
  <si>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</si>
  <si>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</si>
  <si>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</si>
  <si>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</si>
  <si>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How long we take to ship the orders</t>
  </si>
  <si>
    <t>How happy are our customers?</t>
  </si>
  <si>
    <t>Row Labels</t>
  </si>
  <si>
    <t>Grand Total</t>
  </si>
  <si>
    <t>Count of TX ID</t>
  </si>
  <si>
    <t>Sum of Quantity</t>
  </si>
  <si>
    <t>Sum of Amount</t>
  </si>
  <si>
    <t>Average of Rating C</t>
  </si>
  <si>
    <t>Average of Days to Deliver</t>
  </si>
  <si>
    <t>Values for Display</t>
  </si>
  <si>
    <t xml:space="preserve">Orders </t>
  </si>
  <si>
    <t xml:space="preserve">Qty </t>
  </si>
  <si>
    <t xml:space="preserve">Amount </t>
  </si>
  <si>
    <t xml:space="preserve">Avg.Rating </t>
  </si>
  <si>
    <t>Avg.Days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</si>
  <si>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</si>
  <si>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</si>
  <si>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</si>
  <si>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</si>
  <si>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</si>
  <si>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</si>
  <si>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</si>
  <si>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</si>
  <si>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</si>
  <si>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</si>
  <si>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</si>
  <si>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</si>
  <si>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</si>
  <si>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</si>
  <si>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</si>
  <si>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</si>
  <si>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</si>
  <si>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</si>
  <si>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</si>
  <si>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</si>
  <si>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</si>
  <si>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</si>
  <si>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</si>
  <si>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</si>
  <si>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</si>
  <si>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</si>
  <si>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</si>
  <si>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</si>
  <si>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</si>
  <si>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</si>
  <si>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</si>
  <si>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</si>
  <si>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</si>
  <si>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</si>
  <si>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</si>
  <si>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</si>
  <si>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</si>
  <si>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</si>
  <si>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</si>
  <si>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</si>
  <si>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</si>
  <si>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</si>
  <si>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</si>
  <si>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</si>
  <si>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</si>
  <si>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</si>
  <si>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</si>
  <si>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</si>
  <si>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</si>
  <si>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</si>
  <si>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</si>
  <si>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</si>
  <si>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</si>
  <si>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</si>
  <si>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</si>
  <si>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</si>
  <si>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</si>
  <si>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</si>
  <si>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</si>
  <si>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</si>
  <si>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</si>
  <si>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</si>
  <si>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</si>
  <si>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</si>
  <si>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</si>
  <si>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</si>
  <si>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</si>
  <si>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</si>
  <si>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</si>
  <si>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</si>
  <si>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</si>
  <si>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</si>
  <si>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</si>
  <si>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</si>
  <si>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</si>
  <si>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</si>
  <si>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</si>
  <si>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</si>
  <si>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</si>
  <si>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22-Mar</t>
  </si>
  <si>
    <t>23-Mar</t>
  </si>
  <si>
    <t>24-Mar</t>
  </si>
  <si>
    <t>25-Mar</t>
  </si>
  <si>
    <t>26-Mar</t>
  </si>
  <si>
    <t>27-Mar</t>
  </si>
  <si>
    <t>28-Mar</t>
  </si>
  <si>
    <t>29-Mar</t>
  </si>
  <si>
    <t>Column Labels</t>
  </si>
  <si>
    <t>Female</t>
  </si>
  <si>
    <t xml:space="preserve">For matrix </t>
  </si>
  <si>
    <t>Group1</t>
  </si>
  <si>
    <t>Group2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</si>
</sst>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
    <numFmt numFmtId="166"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2">
    <xf numFmtId="0" fontId="0" fillId="0" borderId="0"/>
    <xf numFmtId="0" fontId="2" fillId="0" borderId="0" applyBorder="0"/>
  </cellStyleXfs>
  <cellXfs count="1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166" fontId="0" fillId="0" borderId="0" xfId="0" applyNumberFormat="1"/>
  </cellXfs>
  <cellStyles count="2">
    <cellStyle name="Normal" xfId="0" builtinId="0"/>
    <cellStyle name="Style 1" xfId="1" xr:uid="{76C0CBE6-FDF7-49A1-A1AD-F98C3E6332CE}"/>
  </cellStyles>
  <dxfs count="5">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Project.xlsx]Sheet1!PivotTable3</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4671916010501"/>
          <c:y val="0.19853018372703413"/>
          <c:w val="0.45981388690050107"/>
          <c:h val="0.50881784776902883"/>
        </c:manualLayout>
      </c:layout>
      <c:barChart>
        <c:barDir val="col"/>
        <c:grouping val="clustered"/>
        <c:varyColors val="0"/>
        <c:ser>
          <c:idx val="0"/>
          <c:order val="0"/>
          <c:tx>
            <c:strRef>
              <c:f>Sheet1!$B$12</c:f>
              <c:strCache>
                <c:ptCount val="1"/>
                <c:pt idx="0">
                  <c:v>Sum of Quantity</c:v>
                </c:pt>
              </c:strCache>
            </c:strRef>
          </c:tx>
          <c:spPr>
            <a:solidFill>
              <a:schemeClr val="accent1"/>
            </a:solidFill>
            <a:ln>
              <a:noFill/>
            </a:ln>
            <a:effectLst/>
          </c:spPr>
          <c:invertIfNegative val="0"/>
          <c:cat>
            <c:strRef>
              <c:f>Sheet1!$A$13:$A$26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Sheet1!$B$13:$B$26</c:f>
              <c:numCache>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Cache>
            </c:numRef>
          </c:val>
          <c:extLst>
            <c:ext xmlns:c16="http://schemas.microsoft.com/office/drawing/2014/chart" uri="{C3380CC4-5D6E-409C-BE32-E72D297353CC}">
              <c16:uniqueId val="{00000000-279B-41B3-A0B6-5DE988AB706B}"/>
            </c:ext>
          </c:extLst>
        </c:ser>
        <c:dLbls>
          <c:showLegendKey val="0"/>
          <c:showVal val="0"/>
          <c:showCatName val="0"/>
          <c:showSerName val="0"/>
          <c:showPercent val="0"/>
          <c:showBubbleSize val="0"/>
        </c:dLbls>
        <c:gapWidth val="150"/>
        <c:axId val="1878810639"/>
        <c:axId val="1878811599"/>
      </c:barChart>
      <c:lineChart>
        <c:grouping val="standard"/>
        <c:varyColors val="0"/>
        <c:ser>
          <c:idx val="1"/>
          <c:order val="1"/>
          <c:tx>
            <c:strRef>
              <c:f>Sheet1!$C$12</c:f>
              <c:strCache>
                <c:ptCount val="1"/>
                <c:pt idx="0">
                  <c:v>Sum of Amount</c:v>
                </c:pt>
              </c:strCache>
            </c:strRef>
          </c:tx>
          <c:spPr>
            <a:ln w="28575" cap="rnd">
              <a:solidFill>
                <a:schemeClr val="accent2"/>
              </a:solidFill>
              <a:round/>
            </a:ln>
            <a:effectLst/>
          </c:spPr>
          <c:marker>
            <c:symbol val="none"/>
          </c:marker>
          <c:cat>
            <c:strRef>
              <c:f>Sheet1!$A$13:$A$26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Sheet1!$C$13:$C$26</c:f>
              <c:numCache>
                <c:formatCode>"₹"\ #,##0</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9693.5999999999985</c:v>
                </c:pt>
                <c:pt idx="10">
                  <c:v>5402.7999999999993</c:v>
                </c:pt>
                <c:pt idx="11">
                  <c:v>10369.700000000001</c:v>
                </c:pt>
                <c:pt idx="12">
                  <c:v>7001.9000000000005</c:v>
                </c:pt>
              </c:numCache>
            </c:numRef>
          </c:val>
          <c:smooth val="0"/>
          <c:extLst>
            <c:ext xmlns:c16="http://schemas.microsoft.com/office/drawing/2014/chart" uri="{C3380CC4-5D6E-409C-BE32-E72D297353CC}">
              <c16:uniqueId val="{00000001-279B-41B3-A0B6-5DE988AB706B}"/>
            </c:ext>
          </c:extLst>
        </c:ser>
        <c:dLbls>
          <c:showLegendKey val="0"/>
          <c:showVal val="0"/>
          <c:showCatName val="0"/>
          <c:showSerName val="0"/>
          <c:showPercent val="0"/>
          <c:showBubbleSize val="0"/>
        </c:dLbls>
        <c:marker val="1"/>
        <c:smooth val="0"/>
        <c:axId val="1878759279"/>
        <c:axId val="1878763119"/>
      </c:lineChart>
      <c:catAx>
        <c:axId val="187881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11599"/>
        <c:crosses val="autoZero"/>
        <c:auto val="1"/>
        <c:lblAlgn val="ctr"/>
        <c:lblOffset val="100"/>
        <c:noMultiLvlLbl val="0"/>
      </c:catAx>
      <c:valAx>
        <c:axId val="187881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810639"/>
        <c:crosses val="autoZero"/>
        <c:crossBetween val="between"/>
      </c:valAx>
      <c:valAx>
        <c:axId val="1878763119"/>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59279"/>
        <c:crosses val="max"/>
        <c:crossBetween val="between"/>
      </c:valAx>
      <c:catAx>
        <c:axId val="1878759279"/>
        <c:scaling>
          <c:orientation val="minMax"/>
        </c:scaling>
        <c:delete val="1"/>
        <c:axPos val="b"/>
        <c:numFmt formatCode="General" sourceLinked="1"/>
        <c:majorTickMark val="out"/>
        <c:minorTickMark val="none"/>
        <c:tickLblPos val="nextTo"/>
        <c:crossAx val="1878763119"/>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Sheet5!$A$4:$A$21</c:f>
              <c:strCache>
                <c:ptCount val="17"/>
                <c:pt idx="0">
                  <c:v>1</c:v>
                </c:pt>
                <c:pt idx="1">
                  <c:v>2</c:v>
                </c:pt>
                <c:pt idx="2">
                  <c:v>3</c:v>
                </c:pt>
                <c:pt idx="3">
                  <c:v>4</c:v>
                </c:pt>
                <c:pt idx="4">
                  <c:v>5</c:v>
                </c:pt>
                <c:pt idx="5">
                  <c:v>Group1</c:v>
                </c:pt>
                <c:pt idx="6">
                  <c:v>Group2</c:v>
                </c:pt>
                <c:pt idx="7">
                  <c:v>21</c:v>
                </c:pt>
                <c:pt idx="8">
                  <c:v>22</c:v>
                </c:pt>
                <c:pt idx="9">
                  <c:v>25</c:v>
                </c:pt>
                <c:pt idx="10">
                  <c:v>26</c:v>
                </c:pt>
                <c:pt idx="11">
                  <c:v>28</c:v>
                </c:pt>
                <c:pt idx="12">
                  <c:v>29</c:v>
                </c:pt>
                <c:pt idx="13">
                  <c:v>35</c:v>
                </c:pt>
                <c:pt idx="14">
                  <c:v>41</c:v>
                </c:pt>
                <c:pt idx="15">
                  <c:v>43</c:v>
                </c:pt>
                <c:pt idx="16">
                  <c:v>47</c:v>
                </c:pt>
              </c:strCache>
            </c:strRef>
          </c:cat>
          <c:val>
            <c:numRef>
              <c:f>Sheet5!$B$4:$B$21</c:f>
              <c:numCache>
                <c:formatCode>General</c:formatCode>
                <c:ptCount val="17"/>
                <c:pt idx="0">
                  <c:v>84</c:v>
                </c:pt>
                <c:pt idx="1">
                  <c:v>93</c:v>
                </c:pt>
                <c:pt idx="2">
                  <c:v>67</c:v>
                </c:pt>
                <c:pt idx="3">
                  <c:v>47</c:v>
                </c:pt>
                <c:pt idx="4">
                  <c:v>41</c:v>
                </c:pt>
                <c:pt idx="5">
                  <c:v>92</c:v>
                </c:pt>
                <c:pt idx="6">
                  <c:v>21</c:v>
                </c:pt>
                <c:pt idx="7">
                  <c:v>2</c:v>
                </c:pt>
                <c:pt idx="8">
                  <c:v>1</c:v>
                </c:pt>
                <c:pt idx="9">
                  <c:v>1</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8E97-4D21-A5AB-3C77B1ADF878}"/>
            </c:ext>
          </c:extLst>
        </c:ser>
        <c:dLbls>
          <c:showLegendKey val="0"/>
          <c:showVal val="0"/>
          <c:showCatName val="0"/>
          <c:showSerName val="0"/>
          <c:showPercent val="0"/>
          <c:showBubbleSize val="0"/>
        </c:dLbls>
        <c:gapWidth val="219"/>
        <c:overlap val="-27"/>
        <c:axId val="1878764559"/>
        <c:axId val="1878753519"/>
      </c:barChart>
      <c:catAx>
        <c:axId val="18787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53519"/>
        <c:crosses val="autoZero"/>
        <c:auto val="1"/>
        <c:lblAlgn val="ctr"/>
        <c:lblOffset val="100"/>
        <c:noMultiLvlLbl val="0"/>
      </c:catAx>
      <c:valAx>
        <c:axId val="187875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6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Jeans</c:v>
                </c:pt>
                <c:pt idx="1">
                  <c:v>Sneakers</c:v>
                </c:pt>
                <c:pt idx="2">
                  <c:v>T-Shirts</c:v>
                </c:pt>
                <c:pt idx="3">
                  <c:v>Tank Tops</c:v>
                </c:pt>
                <c:pt idx="4">
                  <c:v>Sundresses</c:v>
                </c:pt>
                <c:pt idx="5">
                  <c:v>Shorts</c:v>
                </c:pt>
                <c:pt idx="6">
                  <c:v>Graphic Tees</c:v>
                </c:pt>
                <c:pt idx="7">
                  <c:v>Bikinis</c:v>
                </c:pt>
                <c:pt idx="8">
                  <c:v>Sandals</c:v>
                </c:pt>
                <c:pt idx="9">
                  <c:v>Hoodies &amp; Sweatshirts</c:v>
                </c:pt>
                <c:pt idx="10">
                  <c:v>Casual Dresses</c:v>
                </c:pt>
                <c:pt idx="11">
                  <c:v>Leggings</c:v>
                </c:pt>
                <c:pt idx="12">
                  <c:v>Crop Tops</c:v>
                </c:pt>
                <c:pt idx="13">
                  <c:v>Workout Tops</c:v>
                </c:pt>
                <c:pt idx="14">
                  <c:v>Maxi Dresses</c:v>
                </c:pt>
                <c:pt idx="15">
                  <c:v>Sunglasses</c:v>
                </c:pt>
                <c:pt idx="16">
                  <c:v>Tote Bags</c:v>
                </c:pt>
                <c:pt idx="17">
                  <c:v>Pajama Sets</c:v>
                </c:pt>
                <c:pt idx="18">
                  <c:v>Baseball Caps</c:v>
                </c:pt>
                <c:pt idx="19">
                  <c:v>Jewelry</c:v>
                </c:pt>
              </c:strCache>
            </c:strRef>
          </c:cat>
          <c:val>
            <c:numRef>
              <c:f>Sheet6!$B$5:$B$25</c:f>
              <c:numCache>
                <c:formatCode>General</c:formatCode>
                <c:ptCount val="20"/>
                <c:pt idx="0">
                  <c:v>318</c:v>
                </c:pt>
                <c:pt idx="1">
                  <c:v>266</c:v>
                </c:pt>
                <c:pt idx="2">
                  <c:v>240</c:v>
                </c:pt>
                <c:pt idx="3">
                  <c:v>192</c:v>
                </c:pt>
                <c:pt idx="4">
                  <c:v>164</c:v>
                </c:pt>
                <c:pt idx="5">
                  <c:v>163</c:v>
                </c:pt>
                <c:pt idx="6">
                  <c:v>152</c:v>
                </c:pt>
                <c:pt idx="7">
                  <c:v>152</c:v>
                </c:pt>
                <c:pt idx="8">
                  <c:v>116</c:v>
                </c:pt>
                <c:pt idx="9">
                  <c:v>96</c:v>
                </c:pt>
                <c:pt idx="10">
                  <c:v>84</c:v>
                </c:pt>
                <c:pt idx="11">
                  <c:v>72</c:v>
                </c:pt>
                <c:pt idx="12">
                  <c:v>61</c:v>
                </c:pt>
                <c:pt idx="13">
                  <c:v>39</c:v>
                </c:pt>
                <c:pt idx="14">
                  <c:v>37</c:v>
                </c:pt>
                <c:pt idx="15">
                  <c:v>35</c:v>
                </c:pt>
                <c:pt idx="16">
                  <c:v>22</c:v>
                </c:pt>
                <c:pt idx="17">
                  <c:v>17</c:v>
                </c:pt>
                <c:pt idx="18">
                  <c:v>11</c:v>
                </c:pt>
                <c:pt idx="19">
                  <c:v>3</c:v>
                </c:pt>
              </c:numCache>
            </c:numRef>
          </c:val>
          <c:extLst>
            <c:ext xmlns:c16="http://schemas.microsoft.com/office/drawing/2014/chart" uri="{C3380CC4-5D6E-409C-BE32-E72D297353CC}">
              <c16:uniqueId val="{00000000-4C0C-4D6C-B180-AB4562EC6E61}"/>
            </c:ext>
          </c:extLst>
        </c:ser>
        <c:dLbls>
          <c:showLegendKey val="0"/>
          <c:showVal val="0"/>
          <c:showCatName val="0"/>
          <c:showSerName val="0"/>
          <c:showPercent val="0"/>
          <c:showBubbleSize val="0"/>
        </c:dLbls>
        <c:gapWidth val="150"/>
        <c:overlap val="100"/>
        <c:axId val="1878787119"/>
        <c:axId val="1878783279"/>
      </c:barChart>
      <c:catAx>
        <c:axId val="187878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3279"/>
        <c:crosses val="autoZero"/>
        <c:auto val="1"/>
        <c:lblAlgn val="ctr"/>
        <c:lblOffset val="100"/>
        <c:noMultiLvlLbl val="0"/>
      </c:catAx>
      <c:valAx>
        <c:axId val="1878783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Project.xlsx]Sheet6!PivotTable7</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9F0-4857-80BC-94C59F32F11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F0-4857-80BC-94C59F32F11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9F0-4857-80BC-94C59F32F11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9F0-4857-80BC-94C59F32F11E}"/>
              </c:ext>
            </c:extLst>
          </c:dPt>
          <c:cat>
            <c:strRef>
              <c:f>Sheet6!$H$4:$H$5</c:f>
              <c:strCache>
                <c:ptCount val="1"/>
                <c:pt idx="0">
                  <c:v>Female</c:v>
                </c:pt>
              </c:strCache>
            </c:strRef>
          </c:cat>
          <c:val>
            <c:numRef>
              <c:f>Sheet6!$I$4:$I$5</c:f>
              <c:numCache>
                <c:formatCode>General</c:formatCode>
                <c:ptCount val="1"/>
                <c:pt idx="0">
                  <c:v>2240</c:v>
                </c:pt>
              </c:numCache>
            </c:numRef>
          </c:val>
          <c:extLst>
            <c:ext xmlns:c16="http://schemas.microsoft.com/office/drawing/2014/chart" uri="{C3380CC4-5D6E-409C-BE32-E72D297353CC}">
              <c16:uniqueId val="{00000008-E9F0-4857-80BC-94C59F32F11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2755601977129"/>
          <c:y val="0.24178468075981377"/>
          <c:w val="0.68144577305203569"/>
          <c:h val="0.48433399644459496"/>
        </c:manualLayout>
      </c:layout>
      <c:barChart>
        <c:barDir val="col"/>
        <c:grouping val="stacked"/>
        <c:varyColors val="0"/>
        <c:ser>
          <c:idx val="0"/>
          <c:order val="0"/>
          <c:tx>
            <c:strRef>
              <c:f>Sheet7!$B$3:$B$4</c:f>
              <c:strCache>
                <c:ptCount val="1"/>
                <c:pt idx="0">
                  <c:v>01-Jan</c:v>
                </c:pt>
              </c:strCache>
            </c:strRef>
          </c:tx>
          <c:spPr>
            <a:solidFill>
              <a:schemeClr val="accent1"/>
            </a:solidFill>
            <a:ln>
              <a:noFill/>
            </a:ln>
            <a:effectLst/>
          </c:spPr>
          <c:invertIfNegative val="0"/>
          <c:cat>
            <c:strRef>
              <c:f>Sheet7!$A$5:$A$10</c:f>
              <c:strCache>
                <c:ptCount val="5"/>
                <c:pt idx="0">
                  <c:v>1</c:v>
                </c:pt>
                <c:pt idx="1">
                  <c:v>2</c:v>
                </c:pt>
                <c:pt idx="2">
                  <c:v>3</c:v>
                </c:pt>
                <c:pt idx="3">
                  <c:v>4</c:v>
                </c:pt>
                <c:pt idx="4">
                  <c:v>5</c:v>
                </c:pt>
              </c:strCache>
            </c:strRef>
          </c:cat>
          <c:val>
            <c:numRef>
              <c:f>Sheet7!$B$5:$B$10</c:f>
              <c:numCache>
                <c:formatCode>General</c:formatCode>
                <c:ptCount val="5"/>
                <c:pt idx="2">
                  <c:v>2</c:v>
                </c:pt>
                <c:pt idx="3">
                  <c:v>5</c:v>
                </c:pt>
                <c:pt idx="4">
                  <c:v>1</c:v>
                </c:pt>
              </c:numCache>
            </c:numRef>
          </c:val>
          <c:extLst>
            <c:ext xmlns:c16="http://schemas.microsoft.com/office/drawing/2014/chart" uri="{C3380CC4-5D6E-409C-BE32-E72D297353CC}">
              <c16:uniqueId val="{00000000-1945-4EA5-ACB9-6C10A4EA77F6}"/>
            </c:ext>
          </c:extLst>
        </c:ser>
        <c:ser>
          <c:idx val="1"/>
          <c:order val="1"/>
          <c:tx>
            <c:strRef>
              <c:f>Sheet7!$C$3:$C$4</c:f>
              <c:strCache>
                <c:ptCount val="1"/>
                <c:pt idx="0">
                  <c:v>02-Jan</c:v>
                </c:pt>
              </c:strCache>
            </c:strRef>
          </c:tx>
          <c:spPr>
            <a:solidFill>
              <a:schemeClr val="accent2"/>
            </a:solidFill>
            <a:ln>
              <a:noFill/>
            </a:ln>
            <a:effectLst/>
          </c:spPr>
          <c:invertIfNegative val="0"/>
          <c:cat>
            <c:strRef>
              <c:f>Sheet7!$A$5:$A$10</c:f>
              <c:strCache>
                <c:ptCount val="5"/>
                <c:pt idx="0">
                  <c:v>1</c:v>
                </c:pt>
                <c:pt idx="1">
                  <c:v>2</c:v>
                </c:pt>
                <c:pt idx="2">
                  <c:v>3</c:v>
                </c:pt>
                <c:pt idx="3">
                  <c:v>4</c:v>
                </c:pt>
                <c:pt idx="4">
                  <c:v>5</c:v>
                </c:pt>
              </c:strCache>
            </c:strRef>
          </c:cat>
          <c:val>
            <c:numRef>
              <c:f>Sheet7!$C$5:$C$10</c:f>
              <c:numCache>
                <c:formatCode>General</c:formatCode>
                <c:ptCount val="5"/>
                <c:pt idx="2">
                  <c:v>1</c:v>
                </c:pt>
                <c:pt idx="3">
                  <c:v>3</c:v>
                </c:pt>
                <c:pt idx="4">
                  <c:v>1</c:v>
                </c:pt>
              </c:numCache>
            </c:numRef>
          </c:val>
          <c:extLst>
            <c:ext xmlns:c16="http://schemas.microsoft.com/office/drawing/2014/chart" uri="{C3380CC4-5D6E-409C-BE32-E72D297353CC}">
              <c16:uniqueId val="{00000001-1945-4EA5-ACB9-6C10A4EA77F6}"/>
            </c:ext>
          </c:extLst>
        </c:ser>
        <c:ser>
          <c:idx val="2"/>
          <c:order val="2"/>
          <c:tx>
            <c:strRef>
              <c:f>Sheet7!$D$3:$D$4</c:f>
              <c:strCache>
                <c:ptCount val="1"/>
                <c:pt idx="0">
                  <c:v>03-Jan</c:v>
                </c:pt>
              </c:strCache>
            </c:strRef>
          </c:tx>
          <c:spPr>
            <a:solidFill>
              <a:schemeClr val="accent3"/>
            </a:solidFill>
            <a:ln>
              <a:noFill/>
            </a:ln>
            <a:effectLst/>
          </c:spPr>
          <c:invertIfNegative val="0"/>
          <c:cat>
            <c:strRef>
              <c:f>Sheet7!$A$5:$A$10</c:f>
              <c:strCache>
                <c:ptCount val="5"/>
                <c:pt idx="0">
                  <c:v>1</c:v>
                </c:pt>
                <c:pt idx="1">
                  <c:v>2</c:v>
                </c:pt>
                <c:pt idx="2">
                  <c:v>3</c:v>
                </c:pt>
                <c:pt idx="3">
                  <c:v>4</c:v>
                </c:pt>
                <c:pt idx="4">
                  <c:v>5</c:v>
                </c:pt>
              </c:strCache>
            </c:strRef>
          </c:cat>
          <c:val>
            <c:numRef>
              <c:f>Sheet7!$D$5:$D$10</c:f>
              <c:numCache>
                <c:formatCode>General</c:formatCode>
                <c:ptCount val="5"/>
                <c:pt idx="2">
                  <c:v>2</c:v>
                </c:pt>
                <c:pt idx="3">
                  <c:v>3</c:v>
                </c:pt>
                <c:pt idx="4">
                  <c:v>3</c:v>
                </c:pt>
              </c:numCache>
            </c:numRef>
          </c:val>
          <c:extLst>
            <c:ext xmlns:c16="http://schemas.microsoft.com/office/drawing/2014/chart" uri="{C3380CC4-5D6E-409C-BE32-E72D297353CC}">
              <c16:uniqueId val="{00000002-1945-4EA5-ACB9-6C10A4EA77F6}"/>
            </c:ext>
          </c:extLst>
        </c:ser>
        <c:ser>
          <c:idx val="3"/>
          <c:order val="3"/>
          <c:tx>
            <c:strRef>
              <c:f>Sheet7!$E$3:$E$4</c:f>
              <c:strCache>
                <c:ptCount val="1"/>
                <c:pt idx="0">
                  <c:v>04-Jan</c:v>
                </c:pt>
              </c:strCache>
            </c:strRef>
          </c:tx>
          <c:spPr>
            <a:solidFill>
              <a:schemeClr val="accent4"/>
            </a:solidFill>
            <a:ln>
              <a:noFill/>
            </a:ln>
            <a:effectLst/>
          </c:spPr>
          <c:invertIfNegative val="0"/>
          <c:cat>
            <c:strRef>
              <c:f>Sheet7!$A$5:$A$10</c:f>
              <c:strCache>
                <c:ptCount val="5"/>
                <c:pt idx="0">
                  <c:v>1</c:v>
                </c:pt>
                <c:pt idx="1">
                  <c:v>2</c:v>
                </c:pt>
                <c:pt idx="2">
                  <c:v>3</c:v>
                </c:pt>
                <c:pt idx="3">
                  <c:v>4</c:v>
                </c:pt>
                <c:pt idx="4">
                  <c:v>5</c:v>
                </c:pt>
              </c:strCache>
            </c:strRef>
          </c:cat>
          <c:val>
            <c:numRef>
              <c:f>Sheet7!$E$5:$E$10</c:f>
              <c:numCache>
                <c:formatCode>General</c:formatCode>
                <c:ptCount val="5"/>
                <c:pt idx="2">
                  <c:v>1</c:v>
                </c:pt>
                <c:pt idx="4">
                  <c:v>2</c:v>
                </c:pt>
              </c:numCache>
            </c:numRef>
          </c:val>
          <c:extLst>
            <c:ext xmlns:c16="http://schemas.microsoft.com/office/drawing/2014/chart" uri="{C3380CC4-5D6E-409C-BE32-E72D297353CC}">
              <c16:uniqueId val="{00000003-1945-4EA5-ACB9-6C10A4EA77F6}"/>
            </c:ext>
          </c:extLst>
        </c:ser>
        <c:ser>
          <c:idx val="4"/>
          <c:order val="4"/>
          <c:tx>
            <c:strRef>
              <c:f>Sheet7!$F$3:$F$4</c:f>
              <c:strCache>
                <c:ptCount val="1"/>
                <c:pt idx="0">
                  <c:v>05-Jan</c:v>
                </c:pt>
              </c:strCache>
            </c:strRef>
          </c:tx>
          <c:spPr>
            <a:solidFill>
              <a:schemeClr val="accent5"/>
            </a:solidFill>
            <a:ln>
              <a:noFill/>
            </a:ln>
            <a:effectLst/>
          </c:spPr>
          <c:invertIfNegative val="0"/>
          <c:cat>
            <c:strRef>
              <c:f>Sheet7!$A$5:$A$10</c:f>
              <c:strCache>
                <c:ptCount val="5"/>
                <c:pt idx="0">
                  <c:v>1</c:v>
                </c:pt>
                <c:pt idx="1">
                  <c:v>2</c:v>
                </c:pt>
                <c:pt idx="2">
                  <c:v>3</c:v>
                </c:pt>
                <c:pt idx="3">
                  <c:v>4</c:v>
                </c:pt>
                <c:pt idx="4">
                  <c:v>5</c:v>
                </c:pt>
              </c:strCache>
            </c:strRef>
          </c:cat>
          <c:val>
            <c:numRef>
              <c:f>Sheet7!$F$5:$F$10</c:f>
              <c:numCache>
                <c:formatCode>General</c:formatCode>
                <c:ptCount val="5"/>
                <c:pt idx="3">
                  <c:v>1</c:v>
                </c:pt>
              </c:numCache>
            </c:numRef>
          </c:val>
          <c:extLst>
            <c:ext xmlns:c16="http://schemas.microsoft.com/office/drawing/2014/chart" uri="{C3380CC4-5D6E-409C-BE32-E72D297353CC}">
              <c16:uniqueId val="{000000F8-1945-4EA5-ACB9-6C10A4EA77F6}"/>
            </c:ext>
          </c:extLst>
        </c:ser>
        <c:ser>
          <c:idx val="5"/>
          <c:order val="5"/>
          <c:tx>
            <c:strRef>
              <c:f>Sheet7!$G$3:$G$4</c:f>
              <c:strCache>
                <c:ptCount val="1"/>
                <c:pt idx="0">
                  <c:v>06-Jan</c:v>
                </c:pt>
              </c:strCache>
            </c:strRef>
          </c:tx>
          <c:spPr>
            <a:solidFill>
              <a:schemeClr val="accent6"/>
            </a:solidFill>
            <a:ln>
              <a:noFill/>
            </a:ln>
            <a:effectLst/>
          </c:spPr>
          <c:invertIfNegative val="0"/>
          <c:cat>
            <c:strRef>
              <c:f>Sheet7!$A$5:$A$10</c:f>
              <c:strCache>
                <c:ptCount val="5"/>
                <c:pt idx="0">
                  <c:v>1</c:v>
                </c:pt>
                <c:pt idx="1">
                  <c:v>2</c:v>
                </c:pt>
                <c:pt idx="2">
                  <c:v>3</c:v>
                </c:pt>
                <c:pt idx="3">
                  <c:v>4</c:v>
                </c:pt>
                <c:pt idx="4">
                  <c:v>5</c:v>
                </c:pt>
              </c:strCache>
            </c:strRef>
          </c:cat>
          <c:val>
            <c:numRef>
              <c:f>Sheet7!$G$5:$G$10</c:f>
              <c:numCache>
                <c:formatCode>General</c:formatCode>
                <c:ptCount val="5"/>
                <c:pt idx="2">
                  <c:v>1</c:v>
                </c:pt>
                <c:pt idx="3">
                  <c:v>1</c:v>
                </c:pt>
                <c:pt idx="4">
                  <c:v>1</c:v>
                </c:pt>
              </c:numCache>
            </c:numRef>
          </c:val>
          <c:extLst>
            <c:ext xmlns:c16="http://schemas.microsoft.com/office/drawing/2014/chart" uri="{C3380CC4-5D6E-409C-BE32-E72D297353CC}">
              <c16:uniqueId val="{000000F9-1945-4EA5-ACB9-6C10A4EA77F6}"/>
            </c:ext>
          </c:extLst>
        </c:ser>
        <c:ser>
          <c:idx val="6"/>
          <c:order val="6"/>
          <c:tx>
            <c:strRef>
              <c:f>Sheet7!$H$3:$H$4</c:f>
              <c:strCache>
                <c:ptCount val="1"/>
                <c:pt idx="0">
                  <c:v>07-Jan</c:v>
                </c:pt>
              </c:strCache>
            </c:strRef>
          </c:tx>
          <c:spPr>
            <a:solidFill>
              <a:schemeClr val="accent1">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Sheet7!$H$5:$H$10</c:f>
              <c:numCache>
                <c:formatCode>General</c:formatCode>
                <c:ptCount val="5"/>
                <c:pt idx="0">
                  <c:v>1</c:v>
                </c:pt>
                <c:pt idx="1">
                  <c:v>1</c:v>
                </c:pt>
                <c:pt idx="3">
                  <c:v>2</c:v>
                </c:pt>
                <c:pt idx="4">
                  <c:v>1</c:v>
                </c:pt>
              </c:numCache>
            </c:numRef>
          </c:val>
          <c:extLst>
            <c:ext xmlns:c16="http://schemas.microsoft.com/office/drawing/2014/chart" uri="{C3380CC4-5D6E-409C-BE32-E72D297353CC}">
              <c16:uniqueId val="{000000FA-1945-4EA5-ACB9-6C10A4EA77F6}"/>
            </c:ext>
          </c:extLst>
        </c:ser>
        <c:ser>
          <c:idx val="7"/>
          <c:order val="7"/>
          <c:tx>
            <c:strRef>
              <c:f>Sheet7!$I$3:$I$4</c:f>
              <c:strCache>
                <c:ptCount val="1"/>
                <c:pt idx="0">
                  <c:v>08-Jan</c:v>
                </c:pt>
              </c:strCache>
            </c:strRef>
          </c:tx>
          <c:spPr>
            <a:solidFill>
              <a:schemeClr val="accent2">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Sheet7!$I$5:$I$10</c:f>
              <c:numCache>
                <c:formatCode>General</c:formatCode>
                <c:ptCount val="5"/>
                <c:pt idx="3">
                  <c:v>3</c:v>
                </c:pt>
                <c:pt idx="4">
                  <c:v>1</c:v>
                </c:pt>
              </c:numCache>
            </c:numRef>
          </c:val>
          <c:extLst>
            <c:ext xmlns:c16="http://schemas.microsoft.com/office/drawing/2014/chart" uri="{C3380CC4-5D6E-409C-BE32-E72D297353CC}">
              <c16:uniqueId val="{000000FB-1945-4EA5-ACB9-6C10A4EA77F6}"/>
            </c:ext>
          </c:extLst>
        </c:ser>
        <c:ser>
          <c:idx val="8"/>
          <c:order val="8"/>
          <c:tx>
            <c:strRef>
              <c:f>Sheet7!$J$3:$J$4</c:f>
              <c:strCache>
                <c:ptCount val="1"/>
                <c:pt idx="0">
                  <c:v>09-Jan</c:v>
                </c:pt>
              </c:strCache>
            </c:strRef>
          </c:tx>
          <c:spPr>
            <a:solidFill>
              <a:schemeClr val="accent3">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Sheet7!$J$5:$J$10</c:f>
              <c:numCache>
                <c:formatCode>General</c:formatCode>
                <c:ptCount val="5"/>
                <c:pt idx="3">
                  <c:v>2</c:v>
                </c:pt>
                <c:pt idx="4">
                  <c:v>2</c:v>
                </c:pt>
              </c:numCache>
            </c:numRef>
          </c:val>
          <c:extLst>
            <c:ext xmlns:c16="http://schemas.microsoft.com/office/drawing/2014/chart" uri="{C3380CC4-5D6E-409C-BE32-E72D297353CC}">
              <c16:uniqueId val="{000000FC-1945-4EA5-ACB9-6C10A4EA77F6}"/>
            </c:ext>
          </c:extLst>
        </c:ser>
        <c:ser>
          <c:idx val="9"/>
          <c:order val="9"/>
          <c:tx>
            <c:strRef>
              <c:f>Sheet7!$K$3:$K$4</c:f>
              <c:strCache>
                <c:ptCount val="1"/>
                <c:pt idx="0">
                  <c:v>10-Jan</c:v>
                </c:pt>
              </c:strCache>
            </c:strRef>
          </c:tx>
          <c:spPr>
            <a:solidFill>
              <a:schemeClr val="accent4">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Sheet7!$K$5:$K$10</c:f>
              <c:numCache>
                <c:formatCode>General</c:formatCode>
                <c:ptCount val="5"/>
                <c:pt idx="3">
                  <c:v>3</c:v>
                </c:pt>
                <c:pt idx="4">
                  <c:v>4</c:v>
                </c:pt>
              </c:numCache>
            </c:numRef>
          </c:val>
          <c:extLst>
            <c:ext xmlns:c16="http://schemas.microsoft.com/office/drawing/2014/chart" uri="{C3380CC4-5D6E-409C-BE32-E72D297353CC}">
              <c16:uniqueId val="{000000FD-1945-4EA5-ACB9-6C10A4EA77F6}"/>
            </c:ext>
          </c:extLst>
        </c:ser>
        <c:ser>
          <c:idx val="10"/>
          <c:order val="10"/>
          <c:tx>
            <c:strRef>
              <c:f>Sheet7!$L$3:$L$4</c:f>
              <c:strCache>
                <c:ptCount val="1"/>
                <c:pt idx="0">
                  <c:v>11-Jan</c:v>
                </c:pt>
              </c:strCache>
            </c:strRef>
          </c:tx>
          <c:spPr>
            <a:solidFill>
              <a:schemeClr val="accent5">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Sheet7!$L$5:$L$10</c:f>
              <c:numCache>
                <c:formatCode>General</c:formatCode>
                <c:ptCount val="5"/>
                <c:pt idx="3">
                  <c:v>2</c:v>
                </c:pt>
              </c:numCache>
            </c:numRef>
          </c:val>
          <c:extLst>
            <c:ext xmlns:c16="http://schemas.microsoft.com/office/drawing/2014/chart" uri="{C3380CC4-5D6E-409C-BE32-E72D297353CC}">
              <c16:uniqueId val="{000000FE-1945-4EA5-ACB9-6C10A4EA77F6}"/>
            </c:ext>
          </c:extLst>
        </c:ser>
        <c:ser>
          <c:idx val="11"/>
          <c:order val="11"/>
          <c:tx>
            <c:strRef>
              <c:f>Sheet7!$M$3:$M$4</c:f>
              <c:strCache>
                <c:ptCount val="1"/>
                <c:pt idx="0">
                  <c:v>12-Jan</c:v>
                </c:pt>
              </c:strCache>
            </c:strRef>
          </c:tx>
          <c:spPr>
            <a:solidFill>
              <a:schemeClr val="accent6">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Sheet7!$M$5:$M$10</c:f>
              <c:numCache>
                <c:formatCode>General</c:formatCode>
                <c:ptCount val="5"/>
                <c:pt idx="1">
                  <c:v>1</c:v>
                </c:pt>
                <c:pt idx="3">
                  <c:v>1</c:v>
                </c:pt>
                <c:pt idx="4">
                  <c:v>3</c:v>
                </c:pt>
              </c:numCache>
            </c:numRef>
          </c:val>
          <c:extLst>
            <c:ext xmlns:c16="http://schemas.microsoft.com/office/drawing/2014/chart" uri="{C3380CC4-5D6E-409C-BE32-E72D297353CC}">
              <c16:uniqueId val="{000000FF-1945-4EA5-ACB9-6C10A4EA77F6}"/>
            </c:ext>
          </c:extLst>
        </c:ser>
        <c:ser>
          <c:idx val="12"/>
          <c:order val="12"/>
          <c:tx>
            <c:strRef>
              <c:f>Sheet7!$N$3:$N$4</c:f>
              <c:strCache>
                <c:ptCount val="1"/>
                <c:pt idx="0">
                  <c:v>13-Jan</c:v>
                </c:pt>
              </c:strCache>
            </c:strRef>
          </c:tx>
          <c:spPr>
            <a:solidFill>
              <a:schemeClr val="accent1">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Sheet7!$N$5:$N$10</c:f>
              <c:numCache>
                <c:formatCode>General</c:formatCode>
                <c:ptCount val="5"/>
                <c:pt idx="0">
                  <c:v>1</c:v>
                </c:pt>
                <c:pt idx="1">
                  <c:v>1</c:v>
                </c:pt>
                <c:pt idx="2">
                  <c:v>1</c:v>
                </c:pt>
                <c:pt idx="4">
                  <c:v>3</c:v>
                </c:pt>
              </c:numCache>
            </c:numRef>
          </c:val>
          <c:extLst>
            <c:ext xmlns:c16="http://schemas.microsoft.com/office/drawing/2014/chart" uri="{C3380CC4-5D6E-409C-BE32-E72D297353CC}">
              <c16:uniqueId val="{00000100-1945-4EA5-ACB9-6C10A4EA77F6}"/>
            </c:ext>
          </c:extLst>
        </c:ser>
        <c:ser>
          <c:idx val="13"/>
          <c:order val="13"/>
          <c:tx>
            <c:strRef>
              <c:f>Sheet7!$O$3:$O$4</c:f>
              <c:strCache>
                <c:ptCount val="1"/>
                <c:pt idx="0">
                  <c:v>14-Jan</c:v>
                </c:pt>
              </c:strCache>
            </c:strRef>
          </c:tx>
          <c:spPr>
            <a:solidFill>
              <a:schemeClr val="accent2">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Sheet7!$O$5:$O$10</c:f>
              <c:numCache>
                <c:formatCode>General</c:formatCode>
                <c:ptCount val="5"/>
                <c:pt idx="2">
                  <c:v>1</c:v>
                </c:pt>
                <c:pt idx="3">
                  <c:v>2</c:v>
                </c:pt>
                <c:pt idx="4">
                  <c:v>2</c:v>
                </c:pt>
              </c:numCache>
            </c:numRef>
          </c:val>
          <c:extLst>
            <c:ext xmlns:c16="http://schemas.microsoft.com/office/drawing/2014/chart" uri="{C3380CC4-5D6E-409C-BE32-E72D297353CC}">
              <c16:uniqueId val="{00000101-1945-4EA5-ACB9-6C10A4EA77F6}"/>
            </c:ext>
          </c:extLst>
        </c:ser>
        <c:ser>
          <c:idx val="14"/>
          <c:order val="14"/>
          <c:tx>
            <c:strRef>
              <c:f>Sheet7!$P$3:$P$4</c:f>
              <c:strCache>
                <c:ptCount val="1"/>
                <c:pt idx="0">
                  <c:v>15-Jan</c:v>
                </c:pt>
              </c:strCache>
            </c:strRef>
          </c:tx>
          <c:spPr>
            <a:solidFill>
              <a:schemeClr val="accent3">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Sheet7!$P$5:$P$10</c:f>
              <c:numCache>
                <c:formatCode>General</c:formatCode>
                <c:ptCount val="5"/>
                <c:pt idx="2">
                  <c:v>1</c:v>
                </c:pt>
                <c:pt idx="3">
                  <c:v>1</c:v>
                </c:pt>
                <c:pt idx="4">
                  <c:v>3</c:v>
                </c:pt>
              </c:numCache>
            </c:numRef>
          </c:val>
          <c:extLst>
            <c:ext xmlns:c16="http://schemas.microsoft.com/office/drawing/2014/chart" uri="{C3380CC4-5D6E-409C-BE32-E72D297353CC}">
              <c16:uniqueId val="{00000132-1945-4EA5-ACB9-6C10A4EA77F6}"/>
            </c:ext>
          </c:extLst>
        </c:ser>
        <c:ser>
          <c:idx val="15"/>
          <c:order val="15"/>
          <c:tx>
            <c:strRef>
              <c:f>Sheet7!$Q$3:$Q$4</c:f>
              <c:strCache>
                <c:ptCount val="1"/>
                <c:pt idx="0">
                  <c:v>16-Jan</c:v>
                </c:pt>
              </c:strCache>
            </c:strRef>
          </c:tx>
          <c:spPr>
            <a:solidFill>
              <a:schemeClr val="accent4">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Sheet7!$Q$5:$Q$10</c:f>
              <c:numCache>
                <c:formatCode>General</c:formatCode>
                <c:ptCount val="5"/>
                <c:pt idx="4">
                  <c:v>1</c:v>
                </c:pt>
              </c:numCache>
            </c:numRef>
          </c:val>
          <c:extLst>
            <c:ext xmlns:c16="http://schemas.microsoft.com/office/drawing/2014/chart" uri="{C3380CC4-5D6E-409C-BE32-E72D297353CC}">
              <c16:uniqueId val="{00000133-1945-4EA5-ACB9-6C10A4EA77F6}"/>
            </c:ext>
          </c:extLst>
        </c:ser>
        <c:ser>
          <c:idx val="16"/>
          <c:order val="16"/>
          <c:tx>
            <c:strRef>
              <c:f>Sheet7!$R$3:$R$4</c:f>
              <c:strCache>
                <c:ptCount val="1"/>
                <c:pt idx="0">
                  <c:v>17-Jan</c:v>
                </c:pt>
              </c:strCache>
            </c:strRef>
          </c:tx>
          <c:spPr>
            <a:solidFill>
              <a:schemeClr val="accent5">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Sheet7!$R$5:$R$10</c:f>
              <c:numCache>
                <c:formatCode>General</c:formatCode>
                <c:ptCount val="5"/>
                <c:pt idx="3">
                  <c:v>3</c:v>
                </c:pt>
              </c:numCache>
            </c:numRef>
          </c:val>
          <c:extLst>
            <c:ext xmlns:c16="http://schemas.microsoft.com/office/drawing/2014/chart" uri="{C3380CC4-5D6E-409C-BE32-E72D297353CC}">
              <c16:uniqueId val="{00000134-1945-4EA5-ACB9-6C10A4EA77F6}"/>
            </c:ext>
          </c:extLst>
        </c:ser>
        <c:ser>
          <c:idx val="17"/>
          <c:order val="17"/>
          <c:tx>
            <c:strRef>
              <c:f>Sheet7!$S$3:$S$4</c:f>
              <c:strCache>
                <c:ptCount val="1"/>
                <c:pt idx="0">
                  <c:v>18-Jan</c:v>
                </c:pt>
              </c:strCache>
            </c:strRef>
          </c:tx>
          <c:spPr>
            <a:solidFill>
              <a:schemeClr val="accent6">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Sheet7!$S$5:$S$10</c:f>
              <c:numCache>
                <c:formatCode>General</c:formatCode>
                <c:ptCount val="5"/>
                <c:pt idx="3">
                  <c:v>1</c:v>
                </c:pt>
              </c:numCache>
            </c:numRef>
          </c:val>
          <c:extLst>
            <c:ext xmlns:c16="http://schemas.microsoft.com/office/drawing/2014/chart" uri="{C3380CC4-5D6E-409C-BE32-E72D297353CC}">
              <c16:uniqueId val="{00000135-1945-4EA5-ACB9-6C10A4EA77F6}"/>
            </c:ext>
          </c:extLst>
        </c:ser>
        <c:ser>
          <c:idx val="18"/>
          <c:order val="18"/>
          <c:tx>
            <c:strRef>
              <c:f>Sheet7!$T$3:$T$4</c:f>
              <c:strCache>
                <c:ptCount val="1"/>
                <c:pt idx="0">
                  <c:v>19-Jan</c:v>
                </c:pt>
              </c:strCache>
            </c:strRef>
          </c:tx>
          <c:spPr>
            <a:solidFill>
              <a:schemeClr val="accent1">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Sheet7!$T$5:$T$10</c:f>
              <c:numCache>
                <c:formatCode>General</c:formatCode>
                <c:ptCount val="5"/>
                <c:pt idx="2">
                  <c:v>1</c:v>
                </c:pt>
                <c:pt idx="3">
                  <c:v>1</c:v>
                </c:pt>
                <c:pt idx="4">
                  <c:v>2</c:v>
                </c:pt>
              </c:numCache>
            </c:numRef>
          </c:val>
          <c:extLst>
            <c:ext xmlns:c16="http://schemas.microsoft.com/office/drawing/2014/chart" uri="{C3380CC4-5D6E-409C-BE32-E72D297353CC}">
              <c16:uniqueId val="{00000136-1945-4EA5-ACB9-6C10A4EA77F6}"/>
            </c:ext>
          </c:extLst>
        </c:ser>
        <c:ser>
          <c:idx val="19"/>
          <c:order val="19"/>
          <c:tx>
            <c:strRef>
              <c:f>Sheet7!$U$3:$U$4</c:f>
              <c:strCache>
                <c:ptCount val="1"/>
                <c:pt idx="0">
                  <c:v>20-Jan</c:v>
                </c:pt>
              </c:strCache>
            </c:strRef>
          </c:tx>
          <c:spPr>
            <a:solidFill>
              <a:schemeClr val="accent2">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Sheet7!$U$5:$U$10</c:f>
              <c:numCache>
                <c:formatCode>General</c:formatCode>
                <c:ptCount val="5"/>
                <c:pt idx="1">
                  <c:v>1</c:v>
                </c:pt>
                <c:pt idx="2">
                  <c:v>2</c:v>
                </c:pt>
                <c:pt idx="3">
                  <c:v>2</c:v>
                </c:pt>
                <c:pt idx="4">
                  <c:v>3</c:v>
                </c:pt>
              </c:numCache>
            </c:numRef>
          </c:val>
          <c:extLst>
            <c:ext xmlns:c16="http://schemas.microsoft.com/office/drawing/2014/chart" uri="{C3380CC4-5D6E-409C-BE32-E72D297353CC}">
              <c16:uniqueId val="{00000137-1945-4EA5-ACB9-6C10A4EA77F6}"/>
            </c:ext>
          </c:extLst>
        </c:ser>
        <c:ser>
          <c:idx val="20"/>
          <c:order val="20"/>
          <c:tx>
            <c:strRef>
              <c:f>Sheet7!$V$3:$V$4</c:f>
              <c:strCache>
                <c:ptCount val="1"/>
                <c:pt idx="0">
                  <c:v>21-Jan</c:v>
                </c:pt>
              </c:strCache>
            </c:strRef>
          </c:tx>
          <c:spPr>
            <a:solidFill>
              <a:schemeClr val="accent3">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Sheet7!$V$5:$V$10</c:f>
              <c:numCache>
                <c:formatCode>General</c:formatCode>
                <c:ptCount val="5"/>
                <c:pt idx="1">
                  <c:v>1</c:v>
                </c:pt>
                <c:pt idx="2">
                  <c:v>1</c:v>
                </c:pt>
                <c:pt idx="4">
                  <c:v>2</c:v>
                </c:pt>
              </c:numCache>
            </c:numRef>
          </c:val>
          <c:extLst>
            <c:ext xmlns:c16="http://schemas.microsoft.com/office/drawing/2014/chart" uri="{C3380CC4-5D6E-409C-BE32-E72D297353CC}">
              <c16:uniqueId val="{00000138-1945-4EA5-ACB9-6C10A4EA77F6}"/>
            </c:ext>
          </c:extLst>
        </c:ser>
        <c:ser>
          <c:idx val="21"/>
          <c:order val="21"/>
          <c:tx>
            <c:strRef>
              <c:f>Sheet7!$W$3:$W$4</c:f>
              <c:strCache>
                <c:ptCount val="1"/>
                <c:pt idx="0">
                  <c:v>22-Jan</c:v>
                </c:pt>
              </c:strCache>
            </c:strRef>
          </c:tx>
          <c:spPr>
            <a:solidFill>
              <a:schemeClr val="accent4">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Sheet7!$W$5:$W$10</c:f>
              <c:numCache>
                <c:formatCode>General</c:formatCode>
                <c:ptCount val="5"/>
                <c:pt idx="2">
                  <c:v>1</c:v>
                </c:pt>
                <c:pt idx="4">
                  <c:v>1</c:v>
                </c:pt>
              </c:numCache>
            </c:numRef>
          </c:val>
          <c:extLst>
            <c:ext xmlns:c16="http://schemas.microsoft.com/office/drawing/2014/chart" uri="{C3380CC4-5D6E-409C-BE32-E72D297353CC}">
              <c16:uniqueId val="{00000139-1945-4EA5-ACB9-6C10A4EA77F6}"/>
            </c:ext>
          </c:extLst>
        </c:ser>
        <c:ser>
          <c:idx val="22"/>
          <c:order val="22"/>
          <c:tx>
            <c:strRef>
              <c:f>Sheet7!$X$3:$X$4</c:f>
              <c:strCache>
                <c:ptCount val="1"/>
                <c:pt idx="0">
                  <c:v>23-Jan</c:v>
                </c:pt>
              </c:strCache>
            </c:strRef>
          </c:tx>
          <c:spPr>
            <a:solidFill>
              <a:schemeClr val="accent5">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Sheet7!$X$5:$X$10</c:f>
              <c:numCache>
                <c:formatCode>General</c:formatCode>
                <c:ptCount val="5"/>
                <c:pt idx="3">
                  <c:v>5</c:v>
                </c:pt>
              </c:numCache>
            </c:numRef>
          </c:val>
          <c:extLst>
            <c:ext xmlns:c16="http://schemas.microsoft.com/office/drawing/2014/chart" uri="{C3380CC4-5D6E-409C-BE32-E72D297353CC}">
              <c16:uniqueId val="{0000013A-1945-4EA5-ACB9-6C10A4EA77F6}"/>
            </c:ext>
          </c:extLst>
        </c:ser>
        <c:ser>
          <c:idx val="23"/>
          <c:order val="23"/>
          <c:tx>
            <c:strRef>
              <c:f>Sheet7!$Y$3:$Y$4</c:f>
              <c:strCache>
                <c:ptCount val="1"/>
                <c:pt idx="0">
                  <c:v>24-Jan</c:v>
                </c:pt>
              </c:strCache>
            </c:strRef>
          </c:tx>
          <c:spPr>
            <a:solidFill>
              <a:schemeClr val="accent6">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Sheet7!$Y$5:$Y$10</c:f>
              <c:numCache>
                <c:formatCode>General</c:formatCode>
                <c:ptCount val="5"/>
                <c:pt idx="2">
                  <c:v>1</c:v>
                </c:pt>
                <c:pt idx="3">
                  <c:v>2</c:v>
                </c:pt>
              </c:numCache>
            </c:numRef>
          </c:val>
          <c:extLst>
            <c:ext xmlns:c16="http://schemas.microsoft.com/office/drawing/2014/chart" uri="{C3380CC4-5D6E-409C-BE32-E72D297353CC}">
              <c16:uniqueId val="{0000013B-1945-4EA5-ACB9-6C10A4EA77F6}"/>
            </c:ext>
          </c:extLst>
        </c:ser>
        <c:ser>
          <c:idx val="24"/>
          <c:order val="24"/>
          <c:tx>
            <c:strRef>
              <c:f>Sheet7!$Z$3:$Z$4</c:f>
              <c:strCache>
                <c:ptCount val="1"/>
                <c:pt idx="0">
                  <c:v>25-Jan</c:v>
                </c:pt>
              </c:strCache>
            </c:strRef>
          </c:tx>
          <c:spPr>
            <a:solidFill>
              <a:schemeClr val="accent1">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Sheet7!$Z$5:$Z$10</c:f>
              <c:numCache>
                <c:formatCode>General</c:formatCode>
                <c:ptCount val="5"/>
                <c:pt idx="2">
                  <c:v>2</c:v>
                </c:pt>
                <c:pt idx="3">
                  <c:v>1</c:v>
                </c:pt>
                <c:pt idx="4">
                  <c:v>1</c:v>
                </c:pt>
              </c:numCache>
            </c:numRef>
          </c:val>
          <c:extLst>
            <c:ext xmlns:c16="http://schemas.microsoft.com/office/drawing/2014/chart" uri="{C3380CC4-5D6E-409C-BE32-E72D297353CC}">
              <c16:uniqueId val="{0000013C-1945-4EA5-ACB9-6C10A4EA77F6}"/>
            </c:ext>
          </c:extLst>
        </c:ser>
        <c:ser>
          <c:idx val="25"/>
          <c:order val="25"/>
          <c:tx>
            <c:strRef>
              <c:f>Sheet7!$AA$3:$AA$4</c:f>
              <c:strCache>
                <c:ptCount val="1"/>
                <c:pt idx="0">
                  <c:v>26-Jan</c:v>
                </c:pt>
              </c:strCache>
            </c:strRef>
          </c:tx>
          <c:spPr>
            <a:solidFill>
              <a:schemeClr val="accent2">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Sheet7!$AA$5:$AA$10</c:f>
              <c:numCache>
                <c:formatCode>General</c:formatCode>
                <c:ptCount val="5"/>
                <c:pt idx="2">
                  <c:v>3</c:v>
                </c:pt>
                <c:pt idx="3">
                  <c:v>1</c:v>
                </c:pt>
                <c:pt idx="4">
                  <c:v>1</c:v>
                </c:pt>
              </c:numCache>
            </c:numRef>
          </c:val>
          <c:extLst>
            <c:ext xmlns:c16="http://schemas.microsoft.com/office/drawing/2014/chart" uri="{C3380CC4-5D6E-409C-BE32-E72D297353CC}">
              <c16:uniqueId val="{0000013D-1945-4EA5-ACB9-6C10A4EA77F6}"/>
            </c:ext>
          </c:extLst>
        </c:ser>
        <c:ser>
          <c:idx val="26"/>
          <c:order val="26"/>
          <c:tx>
            <c:strRef>
              <c:f>Sheet7!$AB$3:$AB$4</c:f>
              <c:strCache>
                <c:ptCount val="1"/>
                <c:pt idx="0">
                  <c:v>27-Jan</c:v>
                </c:pt>
              </c:strCache>
            </c:strRef>
          </c:tx>
          <c:spPr>
            <a:solidFill>
              <a:schemeClr val="accent3">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Sheet7!$AB$5:$AB$10</c:f>
              <c:numCache>
                <c:formatCode>General</c:formatCode>
                <c:ptCount val="5"/>
                <c:pt idx="2">
                  <c:v>1</c:v>
                </c:pt>
                <c:pt idx="3">
                  <c:v>1</c:v>
                </c:pt>
              </c:numCache>
            </c:numRef>
          </c:val>
          <c:extLst>
            <c:ext xmlns:c16="http://schemas.microsoft.com/office/drawing/2014/chart" uri="{C3380CC4-5D6E-409C-BE32-E72D297353CC}">
              <c16:uniqueId val="{0000013E-1945-4EA5-ACB9-6C10A4EA77F6}"/>
            </c:ext>
          </c:extLst>
        </c:ser>
        <c:ser>
          <c:idx val="27"/>
          <c:order val="27"/>
          <c:tx>
            <c:strRef>
              <c:f>Sheet7!$AC$3:$AC$4</c:f>
              <c:strCache>
                <c:ptCount val="1"/>
                <c:pt idx="0">
                  <c:v>28-Jan</c:v>
                </c:pt>
              </c:strCache>
            </c:strRef>
          </c:tx>
          <c:spPr>
            <a:solidFill>
              <a:schemeClr val="accent4">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Sheet7!$AC$5:$AC$10</c:f>
              <c:numCache>
                <c:formatCode>General</c:formatCode>
                <c:ptCount val="5"/>
                <c:pt idx="3">
                  <c:v>2</c:v>
                </c:pt>
                <c:pt idx="4">
                  <c:v>3</c:v>
                </c:pt>
              </c:numCache>
            </c:numRef>
          </c:val>
          <c:extLst>
            <c:ext xmlns:c16="http://schemas.microsoft.com/office/drawing/2014/chart" uri="{C3380CC4-5D6E-409C-BE32-E72D297353CC}">
              <c16:uniqueId val="{0000013F-1945-4EA5-ACB9-6C10A4EA77F6}"/>
            </c:ext>
          </c:extLst>
        </c:ser>
        <c:ser>
          <c:idx val="28"/>
          <c:order val="28"/>
          <c:tx>
            <c:strRef>
              <c:f>Sheet7!$AD$3:$AD$4</c:f>
              <c:strCache>
                <c:ptCount val="1"/>
                <c:pt idx="0">
                  <c:v>29-Jan</c:v>
                </c:pt>
              </c:strCache>
            </c:strRef>
          </c:tx>
          <c:spPr>
            <a:solidFill>
              <a:schemeClr val="accent5">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Sheet7!$AD$5:$AD$10</c:f>
              <c:numCache>
                <c:formatCode>General</c:formatCode>
                <c:ptCount val="5"/>
                <c:pt idx="3">
                  <c:v>3</c:v>
                </c:pt>
                <c:pt idx="4">
                  <c:v>3</c:v>
                </c:pt>
              </c:numCache>
            </c:numRef>
          </c:val>
          <c:extLst>
            <c:ext xmlns:c16="http://schemas.microsoft.com/office/drawing/2014/chart" uri="{C3380CC4-5D6E-409C-BE32-E72D297353CC}">
              <c16:uniqueId val="{00000140-1945-4EA5-ACB9-6C10A4EA77F6}"/>
            </c:ext>
          </c:extLst>
        </c:ser>
        <c:ser>
          <c:idx val="29"/>
          <c:order val="29"/>
          <c:tx>
            <c:strRef>
              <c:f>Sheet7!$AE$3:$AE$4</c:f>
              <c:strCache>
                <c:ptCount val="1"/>
                <c:pt idx="0">
                  <c:v>30-Jan</c:v>
                </c:pt>
              </c:strCache>
            </c:strRef>
          </c:tx>
          <c:spPr>
            <a:solidFill>
              <a:schemeClr val="accent6">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Sheet7!$AE$5:$AE$10</c:f>
              <c:numCache>
                <c:formatCode>General</c:formatCode>
                <c:ptCount val="5"/>
                <c:pt idx="3">
                  <c:v>3</c:v>
                </c:pt>
                <c:pt idx="4">
                  <c:v>1</c:v>
                </c:pt>
              </c:numCache>
            </c:numRef>
          </c:val>
          <c:extLst>
            <c:ext xmlns:c16="http://schemas.microsoft.com/office/drawing/2014/chart" uri="{C3380CC4-5D6E-409C-BE32-E72D297353CC}">
              <c16:uniqueId val="{00000141-1945-4EA5-ACB9-6C10A4EA77F6}"/>
            </c:ext>
          </c:extLst>
        </c:ser>
        <c:ser>
          <c:idx val="30"/>
          <c:order val="30"/>
          <c:tx>
            <c:strRef>
              <c:f>Sheet7!$AF$3:$AF$4</c:f>
              <c:strCache>
                <c:ptCount val="1"/>
                <c:pt idx="0">
                  <c:v>31-Jan</c:v>
                </c:pt>
              </c:strCache>
            </c:strRef>
          </c:tx>
          <c:spPr>
            <a:solidFill>
              <a:schemeClr val="accent1">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Sheet7!$AF$5:$AF$10</c:f>
              <c:numCache>
                <c:formatCode>General</c:formatCode>
                <c:ptCount val="5"/>
                <c:pt idx="4">
                  <c:v>3</c:v>
                </c:pt>
              </c:numCache>
            </c:numRef>
          </c:val>
          <c:extLst>
            <c:ext xmlns:c16="http://schemas.microsoft.com/office/drawing/2014/chart" uri="{C3380CC4-5D6E-409C-BE32-E72D297353CC}">
              <c16:uniqueId val="{00000142-1945-4EA5-ACB9-6C10A4EA77F6}"/>
            </c:ext>
          </c:extLst>
        </c:ser>
        <c:ser>
          <c:idx val="31"/>
          <c:order val="31"/>
          <c:tx>
            <c:strRef>
              <c:f>Sheet7!$AG$3:$AG$4</c:f>
              <c:strCache>
                <c:ptCount val="1"/>
                <c:pt idx="0">
                  <c:v>01-Feb</c:v>
                </c:pt>
              </c:strCache>
            </c:strRef>
          </c:tx>
          <c:spPr>
            <a:solidFill>
              <a:schemeClr val="accent2">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Sheet7!$AG$5:$AG$10</c:f>
              <c:numCache>
                <c:formatCode>General</c:formatCode>
                <c:ptCount val="5"/>
                <c:pt idx="0">
                  <c:v>1</c:v>
                </c:pt>
                <c:pt idx="2">
                  <c:v>1</c:v>
                </c:pt>
                <c:pt idx="3">
                  <c:v>1</c:v>
                </c:pt>
              </c:numCache>
            </c:numRef>
          </c:val>
          <c:extLst>
            <c:ext xmlns:c16="http://schemas.microsoft.com/office/drawing/2014/chart" uri="{C3380CC4-5D6E-409C-BE32-E72D297353CC}">
              <c16:uniqueId val="{00000143-1945-4EA5-ACB9-6C10A4EA77F6}"/>
            </c:ext>
          </c:extLst>
        </c:ser>
        <c:ser>
          <c:idx val="32"/>
          <c:order val="32"/>
          <c:tx>
            <c:strRef>
              <c:f>Sheet7!$AH$3:$AH$4</c:f>
              <c:strCache>
                <c:ptCount val="1"/>
                <c:pt idx="0">
                  <c:v>02-Feb</c:v>
                </c:pt>
              </c:strCache>
            </c:strRef>
          </c:tx>
          <c:spPr>
            <a:solidFill>
              <a:schemeClr val="accent3">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Sheet7!$AH$5:$AH$10</c:f>
              <c:numCache>
                <c:formatCode>General</c:formatCode>
                <c:ptCount val="5"/>
                <c:pt idx="1">
                  <c:v>1</c:v>
                </c:pt>
                <c:pt idx="2">
                  <c:v>5</c:v>
                </c:pt>
                <c:pt idx="3">
                  <c:v>3</c:v>
                </c:pt>
                <c:pt idx="4">
                  <c:v>4</c:v>
                </c:pt>
              </c:numCache>
            </c:numRef>
          </c:val>
          <c:extLst>
            <c:ext xmlns:c16="http://schemas.microsoft.com/office/drawing/2014/chart" uri="{C3380CC4-5D6E-409C-BE32-E72D297353CC}">
              <c16:uniqueId val="{00000144-1945-4EA5-ACB9-6C10A4EA77F6}"/>
            </c:ext>
          </c:extLst>
        </c:ser>
        <c:ser>
          <c:idx val="33"/>
          <c:order val="33"/>
          <c:tx>
            <c:strRef>
              <c:f>Sheet7!$AI$3:$AI$4</c:f>
              <c:strCache>
                <c:ptCount val="1"/>
                <c:pt idx="0">
                  <c:v>03-Feb</c:v>
                </c:pt>
              </c:strCache>
            </c:strRef>
          </c:tx>
          <c:spPr>
            <a:solidFill>
              <a:schemeClr val="accent4">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Sheet7!$AI$5:$AI$10</c:f>
              <c:numCache>
                <c:formatCode>General</c:formatCode>
                <c:ptCount val="5"/>
                <c:pt idx="1">
                  <c:v>1</c:v>
                </c:pt>
                <c:pt idx="2">
                  <c:v>2</c:v>
                </c:pt>
                <c:pt idx="3">
                  <c:v>3</c:v>
                </c:pt>
              </c:numCache>
            </c:numRef>
          </c:val>
          <c:extLst>
            <c:ext xmlns:c16="http://schemas.microsoft.com/office/drawing/2014/chart" uri="{C3380CC4-5D6E-409C-BE32-E72D297353CC}">
              <c16:uniqueId val="{00000145-1945-4EA5-ACB9-6C10A4EA77F6}"/>
            </c:ext>
          </c:extLst>
        </c:ser>
        <c:ser>
          <c:idx val="34"/>
          <c:order val="34"/>
          <c:tx>
            <c:strRef>
              <c:f>Sheet7!$AJ$3:$AJ$4</c:f>
              <c:strCache>
                <c:ptCount val="1"/>
                <c:pt idx="0">
                  <c:v>04-Feb</c:v>
                </c:pt>
              </c:strCache>
            </c:strRef>
          </c:tx>
          <c:spPr>
            <a:solidFill>
              <a:schemeClr val="accent5">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Sheet7!$AJ$5:$AJ$10</c:f>
              <c:numCache>
                <c:formatCode>General</c:formatCode>
                <c:ptCount val="5"/>
                <c:pt idx="2">
                  <c:v>1</c:v>
                </c:pt>
                <c:pt idx="3">
                  <c:v>7</c:v>
                </c:pt>
                <c:pt idx="4">
                  <c:v>6</c:v>
                </c:pt>
              </c:numCache>
            </c:numRef>
          </c:val>
          <c:extLst>
            <c:ext xmlns:c16="http://schemas.microsoft.com/office/drawing/2014/chart" uri="{C3380CC4-5D6E-409C-BE32-E72D297353CC}">
              <c16:uniqueId val="{00000146-1945-4EA5-ACB9-6C10A4EA77F6}"/>
            </c:ext>
          </c:extLst>
        </c:ser>
        <c:ser>
          <c:idx val="35"/>
          <c:order val="35"/>
          <c:tx>
            <c:strRef>
              <c:f>Sheet7!$AK$3:$AK$4</c:f>
              <c:strCache>
                <c:ptCount val="1"/>
                <c:pt idx="0">
                  <c:v>05-Feb</c:v>
                </c:pt>
              </c:strCache>
            </c:strRef>
          </c:tx>
          <c:spPr>
            <a:solidFill>
              <a:schemeClr val="accent6">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Sheet7!$AK$5:$AK$10</c:f>
              <c:numCache>
                <c:formatCode>General</c:formatCode>
                <c:ptCount val="5"/>
                <c:pt idx="2">
                  <c:v>1</c:v>
                </c:pt>
                <c:pt idx="3">
                  <c:v>4</c:v>
                </c:pt>
                <c:pt idx="4">
                  <c:v>2</c:v>
                </c:pt>
              </c:numCache>
            </c:numRef>
          </c:val>
          <c:extLst>
            <c:ext xmlns:c16="http://schemas.microsoft.com/office/drawing/2014/chart" uri="{C3380CC4-5D6E-409C-BE32-E72D297353CC}">
              <c16:uniqueId val="{00000147-1945-4EA5-ACB9-6C10A4EA77F6}"/>
            </c:ext>
          </c:extLst>
        </c:ser>
        <c:ser>
          <c:idx val="36"/>
          <c:order val="36"/>
          <c:tx>
            <c:strRef>
              <c:f>Sheet7!$AL$3:$AL$4</c:f>
              <c:strCache>
                <c:ptCount val="1"/>
                <c:pt idx="0">
                  <c:v>06-Feb</c:v>
                </c:pt>
              </c:strCache>
            </c:strRef>
          </c:tx>
          <c:spPr>
            <a:solidFill>
              <a:schemeClr val="accent1">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Sheet7!$AL$5:$AL$10</c:f>
              <c:numCache>
                <c:formatCode>General</c:formatCode>
                <c:ptCount val="5"/>
                <c:pt idx="2">
                  <c:v>2</c:v>
                </c:pt>
                <c:pt idx="3">
                  <c:v>6</c:v>
                </c:pt>
              </c:numCache>
            </c:numRef>
          </c:val>
          <c:extLst>
            <c:ext xmlns:c16="http://schemas.microsoft.com/office/drawing/2014/chart" uri="{C3380CC4-5D6E-409C-BE32-E72D297353CC}">
              <c16:uniqueId val="{00000148-1945-4EA5-ACB9-6C10A4EA77F6}"/>
            </c:ext>
          </c:extLst>
        </c:ser>
        <c:ser>
          <c:idx val="37"/>
          <c:order val="37"/>
          <c:tx>
            <c:strRef>
              <c:f>Sheet7!$AM$3:$AM$4</c:f>
              <c:strCache>
                <c:ptCount val="1"/>
                <c:pt idx="0">
                  <c:v>07-Feb</c:v>
                </c:pt>
              </c:strCache>
            </c:strRef>
          </c:tx>
          <c:spPr>
            <a:solidFill>
              <a:schemeClr val="accent2">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Sheet7!$AM$5:$AM$10</c:f>
              <c:numCache>
                <c:formatCode>General</c:formatCode>
                <c:ptCount val="5"/>
                <c:pt idx="2">
                  <c:v>3</c:v>
                </c:pt>
                <c:pt idx="3">
                  <c:v>1</c:v>
                </c:pt>
                <c:pt idx="4">
                  <c:v>1</c:v>
                </c:pt>
              </c:numCache>
            </c:numRef>
          </c:val>
          <c:extLst>
            <c:ext xmlns:c16="http://schemas.microsoft.com/office/drawing/2014/chart" uri="{C3380CC4-5D6E-409C-BE32-E72D297353CC}">
              <c16:uniqueId val="{00000149-1945-4EA5-ACB9-6C10A4EA77F6}"/>
            </c:ext>
          </c:extLst>
        </c:ser>
        <c:ser>
          <c:idx val="38"/>
          <c:order val="38"/>
          <c:tx>
            <c:strRef>
              <c:f>Sheet7!$AN$3:$AN$4</c:f>
              <c:strCache>
                <c:ptCount val="1"/>
                <c:pt idx="0">
                  <c:v>08-Feb</c:v>
                </c:pt>
              </c:strCache>
            </c:strRef>
          </c:tx>
          <c:spPr>
            <a:solidFill>
              <a:schemeClr val="accent3">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Sheet7!$AN$5:$AN$10</c:f>
              <c:numCache>
                <c:formatCode>General</c:formatCode>
                <c:ptCount val="5"/>
                <c:pt idx="2">
                  <c:v>1</c:v>
                </c:pt>
                <c:pt idx="3">
                  <c:v>5</c:v>
                </c:pt>
              </c:numCache>
            </c:numRef>
          </c:val>
          <c:extLst>
            <c:ext xmlns:c16="http://schemas.microsoft.com/office/drawing/2014/chart" uri="{C3380CC4-5D6E-409C-BE32-E72D297353CC}">
              <c16:uniqueId val="{0000014A-1945-4EA5-ACB9-6C10A4EA77F6}"/>
            </c:ext>
          </c:extLst>
        </c:ser>
        <c:ser>
          <c:idx val="39"/>
          <c:order val="39"/>
          <c:tx>
            <c:strRef>
              <c:f>Sheet7!$AO$3:$AO$4</c:f>
              <c:strCache>
                <c:ptCount val="1"/>
                <c:pt idx="0">
                  <c:v>09-Feb</c:v>
                </c:pt>
              </c:strCache>
            </c:strRef>
          </c:tx>
          <c:spPr>
            <a:solidFill>
              <a:schemeClr val="accent4">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Sheet7!$AO$5:$AO$10</c:f>
              <c:numCache>
                <c:formatCode>General</c:formatCode>
                <c:ptCount val="5"/>
                <c:pt idx="2">
                  <c:v>1</c:v>
                </c:pt>
                <c:pt idx="3">
                  <c:v>5</c:v>
                </c:pt>
                <c:pt idx="4">
                  <c:v>1</c:v>
                </c:pt>
              </c:numCache>
            </c:numRef>
          </c:val>
          <c:extLst>
            <c:ext xmlns:c16="http://schemas.microsoft.com/office/drawing/2014/chart" uri="{C3380CC4-5D6E-409C-BE32-E72D297353CC}">
              <c16:uniqueId val="{0000014B-1945-4EA5-ACB9-6C10A4EA77F6}"/>
            </c:ext>
          </c:extLst>
        </c:ser>
        <c:ser>
          <c:idx val="40"/>
          <c:order val="40"/>
          <c:tx>
            <c:strRef>
              <c:f>Sheet7!$AP$3:$AP$4</c:f>
              <c:strCache>
                <c:ptCount val="1"/>
                <c:pt idx="0">
                  <c:v>10-Feb</c:v>
                </c:pt>
              </c:strCache>
            </c:strRef>
          </c:tx>
          <c:spPr>
            <a:solidFill>
              <a:schemeClr val="accent5">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Sheet7!$AP$5:$AP$10</c:f>
              <c:numCache>
                <c:formatCode>General</c:formatCode>
                <c:ptCount val="5"/>
                <c:pt idx="2">
                  <c:v>3</c:v>
                </c:pt>
                <c:pt idx="3">
                  <c:v>4</c:v>
                </c:pt>
                <c:pt idx="4">
                  <c:v>2</c:v>
                </c:pt>
              </c:numCache>
            </c:numRef>
          </c:val>
          <c:extLst>
            <c:ext xmlns:c16="http://schemas.microsoft.com/office/drawing/2014/chart" uri="{C3380CC4-5D6E-409C-BE32-E72D297353CC}">
              <c16:uniqueId val="{0000014C-1945-4EA5-ACB9-6C10A4EA77F6}"/>
            </c:ext>
          </c:extLst>
        </c:ser>
        <c:ser>
          <c:idx val="41"/>
          <c:order val="41"/>
          <c:tx>
            <c:strRef>
              <c:f>Sheet7!$AQ$3:$AQ$4</c:f>
              <c:strCache>
                <c:ptCount val="1"/>
                <c:pt idx="0">
                  <c:v>11-Feb</c:v>
                </c:pt>
              </c:strCache>
            </c:strRef>
          </c:tx>
          <c:spPr>
            <a:solidFill>
              <a:schemeClr val="accent6">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Sheet7!$AQ$5:$AQ$10</c:f>
              <c:numCache>
                <c:formatCode>General</c:formatCode>
                <c:ptCount val="5"/>
                <c:pt idx="2">
                  <c:v>1</c:v>
                </c:pt>
                <c:pt idx="3">
                  <c:v>2</c:v>
                </c:pt>
                <c:pt idx="4">
                  <c:v>1</c:v>
                </c:pt>
              </c:numCache>
            </c:numRef>
          </c:val>
          <c:extLst>
            <c:ext xmlns:c16="http://schemas.microsoft.com/office/drawing/2014/chart" uri="{C3380CC4-5D6E-409C-BE32-E72D297353CC}">
              <c16:uniqueId val="{0000014D-1945-4EA5-ACB9-6C10A4EA77F6}"/>
            </c:ext>
          </c:extLst>
        </c:ser>
        <c:ser>
          <c:idx val="42"/>
          <c:order val="42"/>
          <c:tx>
            <c:strRef>
              <c:f>Sheet7!$AR$3:$AR$4</c:f>
              <c:strCache>
                <c:ptCount val="1"/>
                <c:pt idx="0">
                  <c:v>12-Feb</c:v>
                </c:pt>
              </c:strCache>
            </c:strRef>
          </c:tx>
          <c:spPr>
            <a:solidFill>
              <a:schemeClr val="accent1">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Sheet7!$AR$5:$AR$10</c:f>
              <c:numCache>
                <c:formatCode>General</c:formatCode>
                <c:ptCount val="5"/>
                <c:pt idx="2">
                  <c:v>1</c:v>
                </c:pt>
                <c:pt idx="3">
                  <c:v>5</c:v>
                </c:pt>
                <c:pt idx="4">
                  <c:v>1</c:v>
                </c:pt>
              </c:numCache>
            </c:numRef>
          </c:val>
          <c:extLst>
            <c:ext xmlns:c16="http://schemas.microsoft.com/office/drawing/2014/chart" uri="{C3380CC4-5D6E-409C-BE32-E72D297353CC}">
              <c16:uniqueId val="{0000014E-1945-4EA5-ACB9-6C10A4EA77F6}"/>
            </c:ext>
          </c:extLst>
        </c:ser>
        <c:ser>
          <c:idx val="43"/>
          <c:order val="43"/>
          <c:tx>
            <c:strRef>
              <c:f>Sheet7!$AS$3:$AS$4</c:f>
              <c:strCache>
                <c:ptCount val="1"/>
                <c:pt idx="0">
                  <c:v>13-Feb</c:v>
                </c:pt>
              </c:strCache>
            </c:strRef>
          </c:tx>
          <c:spPr>
            <a:solidFill>
              <a:schemeClr val="accent2">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Sheet7!$AS$5:$AS$10</c:f>
              <c:numCache>
                <c:formatCode>General</c:formatCode>
                <c:ptCount val="5"/>
                <c:pt idx="3">
                  <c:v>7</c:v>
                </c:pt>
                <c:pt idx="4">
                  <c:v>3</c:v>
                </c:pt>
              </c:numCache>
            </c:numRef>
          </c:val>
          <c:extLst>
            <c:ext xmlns:c16="http://schemas.microsoft.com/office/drawing/2014/chart" uri="{C3380CC4-5D6E-409C-BE32-E72D297353CC}">
              <c16:uniqueId val="{0000014F-1945-4EA5-ACB9-6C10A4EA77F6}"/>
            </c:ext>
          </c:extLst>
        </c:ser>
        <c:ser>
          <c:idx val="44"/>
          <c:order val="44"/>
          <c:tx>
            <c:strRef>
              <c:f>Sheet7!$AT$3:$AT$4</c:f>
              <c:strCache>
                <c:ptCount val="1"/>
                <c:pt idx="0">
                  <c:v>14-Feb</c:v>
                </c:pt>
              </c:strCache>
            </c:strRef>
          </c:tx>
          <c:spPr>
            <a:solidFill>
              <a:schemeClr val="accent3">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Sheet7!$AT$5:$AT$10</c:f>
              <c:numCache>
                <c:formatCode>General</c:formatCode>
                <c:ptCount val="5"/>
                <c:pt idx="1">
                  <c:v>1</c:v>
                </c:pt>
                <c:pt idx="3">
                  <c:v>3</c:v>
                </c:pt>
              </c:numCache>
            </c:numRef>
          </c:val>
          <c:extLst>
            <c:ext xmlns:c16="http://schemas.microsoft.com/office/drawing/2014/chart" uri="{C3380CC4-5D6E-409C-BE32-E72D297353CC}">
              <c16:uniqueId val="{00000150-1945-4EA5-ACB9-6C10A4EA77F6}"/>
            </c:ext>
          </c:extLst>
        </c:ser>
        <c:ser>
          <c:idx val="45"/>
          <c:order val="45"/>
          <c:tx>
            <c:strRef>
              <c:f>Sheet7!$AU$3:$AU$4</c:f>
              <c:strCache>
                <c:ptCount val="1"/>
                <c:pt idx="0">
                  <c:v>15-Feb</c:v>
                </c:pt>
              </c:strCache>
            </c:strRef>
          </c:tx>
          <c:spPr>
            <a:solidFill>
              <a:schemeClr val="accent4">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Sheet7!$AU$5:$AU$10</c:f>
              <c:numCache>
                <c:formatCode>General</c:formatCode>
                <c:ptCount val="5"/>
                <c:pt idx="1">
                  <c:v>1</c:v>
                </c:pt>
                <c:pt idx="2">
                  <c:v>1</c:v>
                </c:pt>
                <c:pt idx="3">
                  <c:v>2</c:v>
                </c:pt>
                <c:pt idx="4">
                  <c:v>2</c:v>
                </c:pt>
              </c:numCache>
            </c:numRef>
          </c:val>
          <c:extLst>
            <c:ext xmlns:c16="http://schemas.microsoft.com/office/drawing/2014/chart" uri="{C3380CC4-5D6E-409C-BE32-E72D297353CC}">
              <c16:uniqueId val="{00000151-1945-4EA5-ACB9-6C10A4EA77F6}"/>
            </c:ext>
          </c:extLst>
        </c:ser>
        <c:ser>
          <c:idx val="46"/>
          <c:order val="46"/>
          <c:tx>
            <c:strRef>
              <c:f>Sheet7!$AV$3:$AV$4</c:f>
              <c:strCache>
                <c:ptCount val="1"/>
                <c:pt idx="0">
                  <c:v>16-Feb</c:v>
                </c:pt>
              </c:strCache>
            </c:strRef>
          </c:tx>
          <c:spPr>
            <a:solidFill>
              <a:schemeClr val="accent5">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Sheet7!$AV$5:$AV$10</c:f>
              <c:numCache>
                <c:formatCode>General</c:formatCode>
                <c:ptCount val="5"/>
                <c:pt idx="3">
                  <c:v>2</c:v>
                </c:pt>
              </c:numCache>
            </c:numRef>
          </c:val>
          <c:extLst>
            <c:ext xmlns:c16="http://schemas.microsoft.com/office/drawing/2014/chart" uri="{C3380CC4-5D6E-409C-BE32-E72D297353CC}">
              <c16:uniqueId val="{00000152-1945-4EA5-ACB9-6C10A4EA77F6}"/>
            </c:ext>
          </c:extLst>
        </c:ser>
        <c:ser>
          <c:idx val="47"/>
          <c:order val="47"/>
          <c:tx>
            <c:strRef>
              <c:f>Sheet7!$AW$3:$AW$4</c:f>
              <c:strCache>
                <c:ptCount val="1"/>
                <c:pt idx="0">
                  <c:v>17-Feb</c:v>
                </c:pt>
              </c:strCache>
            </c:strRef>
          </c:tx>
          <c:spPr>
            <a:solidFill>
              <a:schemeClr val="accent6">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Sheet7!$AW$5:$AW$10</c:f>
              <c:numCache>
                <c:formatCode>General</c:formatCode>
                <c:ptCount val="5"/>
                <c:pt idx="2">
                  <c:v>1</c:v>
                </c:pt>
                <c:pt idx="3">
                  <c:v>1</c:v>
                </c:pt>
              </c:numCache>
            </c:numRef>
          </c:val>
          <c:extLst>
            <c:ext xmlns:c16="http://schemas.microsoft.com/office/drawing/2014/chart" uri="{C3380CC4-5D6E-409C-BE32-E72D297353CC}">
              <c16:uniqueId val="{00000153-1945-4EA5-ACB9-6C10A4EA77F6}"/>
            </c:ext>
          </c:extLst>
        </c:ser>
        <c:ser>
          <c:idx val="48"/>
          <c:order val="48"/>
          <c:tx>
            <c:strRef>
              <c:f>Sheet7!$AX$3:$AX$4</c:f>
              <c:strCache>
                <c:ptCount val="1"/>
                <c:pt idx="0">
                  <c:v>18-Feb</c:v>
                </c:pt>
              </c:strCache>
            </c:strRef>
          </c:tx>
          <c:spPr>
            <a:solidFill>
              <a:schemeClr val="accent1">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Sheet7!$AX$5:$AX$10</c:f>
              <c:numCache>
                <c:formatCode>General</c:formatCode>
                <c:ptCount val="5"/>
                <c:pt idx="0">
                  <c:v>1</c:v>
                </c:pt>
                <c:pt idx="1">
                  <c:v>1</c:v>
                </c:pt>
                <c:pt idx="2">
                  <c:v>5</c:v>
                </c:pt>
                <c:pt idx="3">
                  <c:v>4</c:v>
                </c:pt>
                <c:pt idx="4">
                  <c:v>3</c:v>
                </c:pt>
              </c:numCache>
            </c:numRef>
          </c:val>
          <c:extLst>
            <c:ext xmlns:c16="http://schemas.microsoft.com/office/drawing/2014/chart" uri="{C3380CC4-5D6E-409C-BE32-E72D297353CC}">
              <c16:uniqueId val="{00000154-1945-4EA5-ACB9-6C10A4EA77F6}"/>
            </c:ext>
          </c:extLst>
        </c:ser>
        <c:ser>
          <c:idx val="49"/>
          <c:order val="49"/>
          <c:tx>
            <c:strRef>
              <c:f>Sheet7!$AY$3:$AY$4</c:f>
              <c:strCache>
                <c:ptCount val="1"/>
                <c:pt idx="0">
                  <c:v>19-Feb</c:v>
                </c:pt>
              </c:strCache>
            </c:strRef>
          </c:tx>
          <c:spPr>
            <a:solidFill>
              <a:schemeClr val="accent2">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Sheet7!$AY$5:$AY$10</c:f>
              <c:numCache>
                <c:formatCode>General</c:formatCode>
                <c:ptCount val="5"/>
                <c:pt idx="3">
                  <c:v>4</c:v>
                </c:pt>
                <c:pt idx="4">
                  <c:v>1</c:v>
                </c:pt>
              </c:numCache>
            </c:numRef>
          </c:val>
          <c:extLst>
            <c:ext xmlns:c16="http://schemas.microsoft.com/office/drawing/2014/chart" uri="{C3380CC4-5D6E-409C-BE32-E72D297353CC}">
              <c16:uniqueId val="{00000155-1945-4EA5-ACB9-6C10A4EA77F6}"/>
            </c:ext>
          </c:extLst>
        </c:ser>
        <c:ser>
          <c:idx val="50"/>
          <c:order val="50"/>
          <c:tx>
            <c:strRef>
              <c:f>Sheet7!$AZ$3:$AZ$4</c:f>
              <c:strCache>
                <c:ptCount val="1"/>
                <c:pt idx="0">
                  <c:v>20-Feb</c:v>
                </c:pt>
              </c:strCache>
            </c:strRef>
          </c:tx>
          <c:spPr>
            <a:solidFill>
              <a:schemeClr val="accent3">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Sheet7!$AZ$5:$AZ$10</c:f>
              <c:numCache>
                <c:formatCode>General</c:formatCode>
                <c:ptCount val="5"/>
                <c:pt idx="2">
                  <c:v>3</c:v>
                </c:pt>
                <c:pt idx="3">
                  <c:v>2</c:v>
                </c:pt>
                <c:pt idx="4">
                  <c:v>1</c:v>
                </c:pt>
              </c:numCache>
            </c:numRef>
          </c:val>
          <c:extLst>
            <c:ext xmlns:c16="http://schemas.microsoft.com/office/drawing/2014/chart" uri="{C3380CC4-5D6E-409C-BE32-E72D297353CC}">
              <c16:uniqueId val="{00000156-1945-4EA5-ACB9-6C10A4EA77F6}"/>
            </c:ext>
          </c:extLst>
        </c:ser>
        <c:ser>
          <c:idx val="51"/>
          <c:order val="51"/>
          <c:tx>
            <c:strRef>
              <c:f>Sheet7!$BA$3:$BA$4</c:f>
              <c:strCache>
                <c:ptCount val="1"/>
                <c:pt idx="0">
                  <c:v>21-Feb</c:v>
                </c:pt>
              </c:strCache>
            </c:strRef>
          </c:tx>
          <c:spPr>
            <a:solidFill>
              <a:schemeClr val="accent4">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Sheet7!$BA$5:$BA$10</c:f>
              <c:numCache>
                <c:formatCode>General</c:formatCode>
                <c:ptCount val="5"/>
                <c:pt idx="1">
                  <c:v>1</c:v>
                </c:pt>
                <c:pt idx="3">
                  <c:v>1</c:v>
                </c:pt>
                <c:pt idx="4">
                  <c:v>2</c:v>
                </c:pt>
              </c:numCache>
            </c:numRef>
          </c:val>
          <c:extLst>
            <c:ext xmlns:c16="http://schemas.microsoft.com/office/drawing/2014/chart" uri="{C3380CC4-5D6E-409C-BE32-E72D297353CC}">
              <c16:uniqueId val="{00000157-1945-4EA5-ACB9-6C10A4EA77F6}"/>
            </c:ext>
          </c:extLst>
        </c:ser>
        <c:ser>
          <c:idx val="52"/>
          <c:order val="52"/>
          <c:tx>
            <c:strRef>
              <c:f>Sheet7!$BB$3:$BB$4</c:f>
              <c:strCache>
                <c:ptCount val="1"/>
                <c:pt idx="0">
                  <c:v>22-Feb</c:v>
                </c:pt>
              </c:strCache>
            </c:strRef>
          </c:tx>
          <c:spPr>
            <a:solidFill>
              <a:schemeClr val="accent5">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Sheet7!$BB$5:$BB$10</c:f>
              <c:numCache>
                <c:formatCode>General</c:formatCode>
                <c:ptCount val="5"/>
                <c:pt idx="3">
                  <c:v>3</c:v>
                </c:pt>
              </c:numCache>
            </c:numRef>
          </c:val>
          <c:extLst>
            <c:ext xmlns:c16="http://schemas.microsoft.com/office/drawing/2014/chart" uri="{C3380CC4-5D6E-409C-BE32-E72D297353CC}">
              <c16:uniqueId val="{00000158-1945-4EA5-ACB9-6C10A4EA77F6}"/>
            </c:ext>
          </c:extLst>
        </c:ser>
        <c:ser>
          <c:idx val="53"/>
          <c:order val="53"/>
          <c:tx>
            <c:strRef>
              <c:f>Sheet7!$BC$3:$BC$4</c:f>
              <c:strCache>
                <c:ptCount val="1"/>
                <c:pt idx="0">
                  <c:v>23-Feb</c:v>
                </c:pt>
              </c:strCache>
            </c:strRef>
          </c:tx>
          <c:spPr>
            <a:solidFill>
              <a:schemeClr val="accent6">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Sheet7!$BC$5:$BC$10</c:f>
              <c:numCache>
                <c:formatCode>General</c:formatCode>
                <c:ptCount val="5"/>
                <c:pt idx="2">
                  <c:v>2</c:v>
                </c:pt>
                <c:pt idx="3">
                  <c:v>3</c:v>
                </c:pt>
                <c:pt idx="4">
                  <c:v>1</c:v>
                </c:pt>
              </c:numCache>
            </c:numRef>
          </c:val>
          <c:extLst>
            <c:ext xmlns:c16="http://schemas.microsoft.com/office/drawing/2014/chart" uri="{C3380CC4-5D6E-409C-BE32-E72D297353CC}">
              <c16:uniqueId val="{00000159-1945-4EA5-ACB9-6C10A4EA77F6}"/>
            </c:ext>
          </c:extLst>
        </c:ser>
        <c:ser>
          <c:idx val="54"/>
          <c:order val="54"/>
          <c:tx>
            <c:strRef>
              <c:f>Sheet7!$BD$3:$BD$4</c:f>
              <c:strCache>
                <c:ptCount val="1"/>
                <c:pt idx="0">
                  <c:v>24-Feb</c:v>
                </c:pt>
              </c:strCache>
            </c:strRef>
          </c:tx>
          <c:spPr>
            <a:solidFill>
              <a:schemeClr val="accent1"/>
            </a:solidFill>
            <a:ln>
              <a:noFill/>
            </a:ln>
            <a:effectLst/>
          </c:spPr>
          <c:invertIfNegative val="0"/>
          <c:cat>
            <c:strRef>
              <c:f>Sheet7!$A$5:$A$10</c:f>
              <c:strCache>
                <c:ptCount val="5"/>
                <c:pt idx="0">
                  <c:v>1</c:v>
                </c:pt>
                <c:pt idx="1">
                  <c:v>2</c:v>
                </c:pt>
                <c:pt idx="2">
                  <c:v>3</c:v>
                </c:pt>
                <c:pt idx="3">
                  <c:v>4</c:v>
                </c:pt>
                <c:pt idx="4">
                  <c:v>5</c:v>
                </c:pt>
              </c:strCache>
            </c:strRef>
          </c:cat>
          <c:val>
            <c:numRef>
              <c:f>Sheet7!$BD$5:$BD$10</c:f>
              <c:numCache>
                <c:formatCode>General</c:formatCode>
                <c:ptCount val="5"/>
                <c:pt idx="2">
                  <c:v>2</c:v>
                </c:pt>
                <c:pt idx="3">
                  <c:v>3</c:v>
                </c:pt>
                <c:pt idx="4">
                  <c:v>2</c:v>
                </c:pt>
              </c:numCache>
            </c:numRef>
          </c:val>
          <c:extLst>
            <c:ext xmlns:c16="http://schemas.microsoft.com/office/drawing/2014/chart" uri="{C3380CC4-5D6E-409C-BE32-E72D297353CC}">
              <c16:uniqueId val="{0000015A-1945-4EA5-ACB9-6C10A4EA77F6}"/>
            </c:ext>
          </c:extLst>
        </c:ser>
        <c:ser>
          <c:idx val="55"/>
          <c:order val="55"/>
          <c:tx>
            <c:strRef>
              <c:f>Sheet7!$BE$3:$BE$4</c:f>
              <c:strCache>
                <c:ptCount val="1"/>
                <c:pt idx="0">
                  <c:v>25-Feb</c:v>
                </c:pt>
              </c:strCache>
            </c:strRef>
          </c:tx>
          <c:spPr>
            <a:solidFill>
              <a:schemeClr val="accent2"/>
            </a:solidFill>
            <a:ln>
              <a:noFill/>
            </a:ln>
            <a:effectLst/>
          </c:spPr>
          <c:invertIfNegative val="0"/>
          <c:cat>
            <c:strRef>
              <c:f>Sheet7!$A$5:$A$10</c:f>
              <c:strCache>
                <c:ptCount val="5"/>
                <c:pt idx="0">
                  <c:v>1</c:v>
                </c:pt>
                <c:pt idx="1">
                  <c:v>2</c:v>
                </c:pt>
                <c:pt idx="2">
                  <c:v>3</c:v>
                </c:pt>
                <c:pt idx="3">
                  <c:v>4</c:v>
                </c:pt>
                <c:pt idx="4">
                  <c:v>5</c:v>
                </c:pt>
              </c:strCache>
            </c:strRef>
          </c:cat>
          <c:val>
            <c:numRef>
              <c:f>Sheet7!$BE$5:$BE$10</c:f>
              <c:numCache>
                <c:formatCode>General</c:formatCode>
                <c:ptCount val="5"/>
                <c:pt idx="0">
                  <c:v>1</c:v>
                </c:pt>
                <c:pt idx="1">
                  <c:v>1</c:v>
                </c:pt>
                <c:pt idx="4">
                  <c:v>2</c:v>
                </c:pt>
              </c:numCache>
            </c:numRef>
          </c:val>
          <c:extLst>
            <c:ext xmlns:c16="http://schemas.microsoft.com/office/drawing/2014/chart" uri="{C3380CC4-5D6E-409C-BE32-E72D297353CC}">
              <c16:uniqueId val="{0000015B-1945-4EA5-ACB9-6C10A4EA77F6}"/>
            </c:ext>
          </c:extLst>
        </c:ser>
        <c:ser>
          <c:idx val="56"/>
          <c:order val="56"/>
          <c:tx>
            <c:strRef>
              <c:f>Sheet7!$BF$3:$BF$4</c:f>
              <c:strCache>
                <c:ptCount val="1"/>
                <c:pt idx="0">
                  <c:v>26-Feb</c:v>
                </c:pt>
              </c:strCache>
            </c:strRef>
          </c:tx>
          <c:spPr>
            <a:solidFill>
              <a:schemeClr val="accent3"/>
            </a:solidFill>
            <a:ln>
              <a:noFill/>
            </a:ln>
            <a:effectLst/>
          </c:spPr>
          <c:invertIfNegative val="0"/>
          <c:cat>
            <c:strRef>
              <c:f>Sheet7!$A$5:$A$10</c:f>
              <c:strCache>
                <c:ptCount val="5"/>
                <c:pt idx="0">
                  <c:v>1</c:v>
                </c:pt>
                <c:pt idx="1">
                  <c:v>2</c:v>
                </c:pt>
                <c:pt idx="2">
                  <c:v>3</c:v>
                </c:pt>
                <c:pt idx="3">
                  <c:v>4</c:v>
                </c:pt>
                <c:pt idx="4">
                  <c:v>5</c:v>
                </c:pt>
              </c:strCache>
            </c:strRef>
          </c:cat>
          <c:val>
            <c:numRef>
              <c:f>Sheet7!$BF$5:$BF$10</c:f>
              <c:numCache>
                <c:formatCode>General</c:formatCode>
                <c:ptCount val="5"/>
                <c:pt idx="2">
                  <c:v>2</c:v>
                </c:pt>
                <c:pt idx="3">
                  <c:v>2</c:v>
                </c:pt>
                <c:pt idx="4">
                  <c:v>4</c:v>
                </c:pt>
              </c:numCache>
            </c:numRef>
          </c:val>
          <c:extLst>
            <c:ext xmlns:c16="http://schemas.microsoft.com/office/drawing/2014/chart" uri="{C3380CC4-5D6E-409C-BE32-E72D297353CC}">
              <c16:uniqueId val="{0000015C-1945-4EA5-ACB9-6C10A4EA77F6}"/>
            </c:ext>
          </c:extLst>
        </c:ser>
        <c:ser>
          <c:idx val="57"/>
          <c:order val="57"/>
          <c:tx>
            <c:strRef>
              <c:f>Sheet7!$BG$3:$BG$4</c:f>
              <c:strCache>
                <c:ptCount val="1"/>
                <c:pt idx="0">
                  <c:v>27-Feb</c:v>
                </c:pt>
              </c:strCache>
            </c:strRef>
          </c:tx>
          <c:spPr>
            <a:solidFill>
              <a:schemeClr val="accent4"/>
            </a:solidFill>
            <a:ln>
              <a:noFill/>
            </a:ln>
            <a:effectLst/>
          </c:spPr>
          <c:invertIfNegative val="0"/>
          <c:cat>
            <c:strRef>
              <c:f>Sheet7!$A$5:$A$10</c:f>
              <c:strCache>
                <c:ptCount val="5"/>
                <c:pt idx="0">
                  <c:v>1</c:v>
                </c:pt>
                <c:pt idx="1">
                  <c:v>2</c:v>
                </c:pt>
                <c:pt idx="2">
                  <c:v>3</c:v>
                </c:pt>
                <c:pt idx="3">
                  <c:v>4</c:v>
                </c:pt>
                <c:pt idx="4">
                  <c:v>5</c:v>
                </c:pt>
              </c:strCache>
            </c:strRef>
          </c:cat>
          <c:val>
            <c:numRef>
              <c:f>Sheet7!$BG$5:$BG$10</c:f>
              <c:numCache>
                <c:formatCode>General</c:formatCode>
                <c:ptCount val="5"/>
                <c:pt idx="2">
                  <c:v>1</c:v>
                </c:pt>
                <c:pt idx="3">
                  <c:v>3</c:v>
                </c:pt>
                <c:pt idx="4">
                  <c:v>1</c:v>
                </c:pt>
              </c:numCache>
            </c:numRef>
          </c:val>
          <c:extLst>
            <c:ext xmlns:c16="http://schemas.microsoft.com/office/drawing/2014/chart" uri="{C3380CC4-5D6E-409C-BE32-E72D297353CC}">
              <c16:uniqueId val="{0000015D-1945-4EA5-ACB9-6C10A4EA77F6}"/>
            </c:ext>
          </c:extLst>
        </c:ser>
        <c:ser>
          <c:idx val="58"/>
          <c:order val="58"/>
          <c:tx>
            <c:strRef>
              <c:f>Sheet7!$BH$3:$BH$4</c:f>
              <c:strCache>
                <c:ptCount val="1"/>
                <c:pt idx="0">
                  <c:v>28-Feb</c:v>
                </c:pt>
              </c:strCache>
            </c:strRef>
          </c:tx>
          <c:spPr>
            <a:solidFill>
              <a:schemeClr val="accent5"/>
            </a:solidFill>
            <a:ln>
              <a:noFill/>
            </a:ln>
            <a:effectLst/>
          </c:spPr>
          <c:invertIfNegative val="0"/>
          <c:cat>
            <c:strRef>
              <c:f>Sheet7!$A$5:$A$10</c:f>
              <c:strCache>
                <c:ptCount val="5"/>
                <c:pt idx="0">
                  <c:v>1</c:v>
                </c:pt>
                <c:pt idx="1">
                  <c:v>2</c:v>
                </c:pt>
                <c:pt idx="2">
                  <c:v>3</c:v>
                </c:pt>
                <c:pt idx="3">
                  <c:v>4</c:v>
                </c:pt>
                <c:pt idx="4">
                  <c:v>5</c:v>
                </c:pt>
              </c:strCache>
            </c:strRef>
          </c:cat>
          <c:val>
            <c:numRef>
              <c:f>Sheet7!$BH$5:$BH$10</c:f>
              <c:numCache>
                <c:formatCode>General</c:formatCode>
                <c:ptCount val="5"/>
                <c:pt idx="0">
                  <c:v>1</c:v>
                </c:pt>
                <c:pt idx="2">
                  <c:v>2</c:v>
                </c:pt>
                <c:pt idx="3">
                  <c:v>5</c:v>
                </c:pt>
                <c:pt idx="4">
                  <c:v>1</c:v>
                </c:pt>
              </c:numCache>
            </c:numRef>
          </c:val>
          <c:extLst>
            <c:ext xmlns:c16="http://schemas.microsoft.com/office/drawing/2014/chart" uri="{C3380CC4-5D6E-409C-BE32-E72D297353CC}">
              <c16:uniqueId val="{0000015E-1945-4EA5-ACB9-6C10A4EA77F6}"/>
            </c:ext>
          </c:extLst>
        </c:ser>
        <c:ser>
          <c:idx val="59"/>
          <c:order val="59"/>
          <c:tx>
            <c:strRef>
              <c:f>Sheet7!$BI$3:$BI$4</c:f>
              <c:strCache>
                <c:ptCount val="1"/>
                <c:pt idx="0">
                  <c:v>01-Mar</c:v>
                </c:pt>
              </c:strCache>
            </c:strRef>
          </c:tx>
          <c:spPr>
            <a:solidFill>
              <a:schemeClr val="accent6"/>
            </a:solidFill>
            <a:ln>
              <a:noFill/>
            </a:ln>
            <a:effectLst/>
          </c:spPr>
          <c:invertIfNegative val="0"/>
          <c:cat>
            <c:strRef>
              <c:f>Sheet7!$A$5:$A$10</c:f>
              <c:strCache>
                <c:ptCount val="5"/>
                <c:pt idx="0">
                  <c:v>1</c:v>
                </c:pt>
                <c:pt idx="1">
                  <c:v>2</c:v>
                </c:pt>
                <c:pt idx="2">
                  <c:v>3</c:v>
                </c:pt>
                <c:pt idx="3">
                  <c:v>4</c:v>
                </c:pt>
                <c:pt idx="4">
                  <c:v>5</c:v>
                </c:pt>
              </c:strCache>
            </c:strRef>
          </c:cat>
          <c:val>
            <c:numRef>
              <c:f>Sheet7!$BI$5:$BI$10</c:f>
              <c:numCache>
                <c:formatCode>General</c:formatCode>
                <c:ptCount val="5"/>
                <c:pt idx="3">
                  <c:v>3</c:v>
                </c:pt>
              </c:numCache>
            </c:numRef>
          </c:val>
          <c:extLst>
            <c:ext xmlns:c16="http://schemas.microsoft.com/office/drawing/2014/chart" uri="{C3380CC4-5D6E-409C-BE32-E72D297353CC}">
              <c16:uniqueId val="{0000015F-1945-4EA5-ACB9-6C10A4EA77F6}"/>
            </c:ext>
          </c:extLst>
        </c:ser>
        <c:ser>
          <c:idx val="60"/>
          <c:order val="60"/>
          <c:tx>
            <c:strRef>
              <c:f>Sheet7!$BJ$3:$BJ$4</c:f>
              <c:strCache>
                <c:ptCount val="1"/>
                <c:pt idx="0">
                  <c:v>02-Mar</c:v>
                </c:pt>
              </c:strCache>
            </c:strRef>
          </c:tx>
          <c:spPr>
            <a:solidFill>
              <a:schemeClr val="accent1">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Sheet7!$BJ$5:$BJ$10</c:f>
              <c:numCache>
                <c:formatCode>General</c:formatCode>
                <c:ptCount val="5"/>
                <c:pt idx="2">
                  <c:v>2</c:v>
                </c:pt>
                <c:pt idx="3">
                  <c:v>3</c:v>
                </c:pt>
                <c:pt idx="4">
                  <c:v>1</c:v>
                </c:pt>
              </c:numCache>
            </c:numRef>
          </c:val>
          <c:extLst>
            <c:ext xmlns:c16="http://schemas.microsoft.com/office/drawing/2014/chart" uri="{C3380CC4-5D6E-409C-BE32-E72D297353CC}">
              <c16:uniqueId val="{00000160-1945-4EA5-ACB9-6C10A4EA77F6}"/>
            </c:ext>
          </c:extLst>
        </c:ser>
        <c:ser>
          <c:idx val="61"/>
          <c:order val="61"/>
          <c:tx>
            <c:strRef>
              <c:f>Sheet7!$BK$3:$BK$4</c:f>
              <c:strCache>
                <c:ptCount val="1"/>
                <c:pt idx="0">
                  <c:v>03-Mar</c:v>
                </c:pt>
              </c:strCache>
            </c:strRef>
          </c:tx>
          <c:spPr>
            <a:solidFill>
              <a:schemeClr val="accent2">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Sheet7!$BK$5:$BK$10</c:f>
              <c:numCache>
                <c:formatCode>General</c:formatCode>
                <c:ptCount val="5"/>
                <c:pt idx="1">
                  <c:v>1</c:v>
                </c:pt>
                <c:pt idx="2">
                  <c:v>1</c:v>
                </c:pt>
                <c:pt idx="3">
                  <c:v>3</c:v>
                </c:pt>
                <c:pt idx="4">
                  <c:v>3</c:v>
                </c:pt>
              </c:numCache>
            </c:numRef>
          </c:val>
          <c:extLst>
            <c:ext xmlns:c16="http://schemas.microsoft.com/office/drawing/2014/chart" uri="{C3380CC4-5D6E-409C-BE32-E72D297353CC}">
              <c16:uniqueId val="{00000161-1945-4EA5-ACB9-6C10A4EA77F6}"/>
            </c:ext>
          </c:extLst>
        </c:ser>
        <c:ser>
          <c:idx val="62"/>
          <c:order val="62"/>
          <c:tx>
            <c:strRef>
              <c:f>Sheet7!$BL$3:$BL$4</c:f>
              <c:strCache>
                <c:ptCount val="1"/>
                <c:pt idx="0">
                  <c:v>04-Mar</c:v>
                </c:pt>
              </c:strCache>
            </c:strRef>
          </c:tx>
          <c:spPr>
            <a:solidFill>
              <a:schemeClr val="accent3">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Sheet7!$BL$5:$BL$10</c:f>
              <c:numCache>
                <c:formatCode>General</c:formatCode>
                <c:ptCount val="5"/>
                <c:pt idx="1">
                  <c:v>1</c:v>
                </c:pt>
                <c:pt idx="2">
                  <c:v>5</c:v>
                </c:pt>
                <c:pt idx="3">
                  <c:v>5</c:v>
                </c:pt>
              </c:numCache>
            </c:numRef>
          </c:val>
          <c:extLst>
            <c:ext xmlns:c16="http://schemas.microsoft.com/office/drawing/2014/chart" uri="{C3380CC4-5D6E-409C-BE32-E72D297353CC}">
              <c16:uniqueId val="{00000162-1945-4EA5-ACB9-6C10A4EA77F6}"/>
            </c:ext>
          </c:extLst>
        </c:ser>
        <c:ser>
          <c:idx val="63"/>
          <c:order val="63"/>
          <c:tx>
            <c:strRef>
              <c:f>Sheet7!$BM$3:$BM$4</c:f>
              <c:strCache>
                <c:ptCount val="1"/>
                <c:pt idx="0">
                  <c:v>05-Mar</c:v>
                </c:pt>
              </c:strCache>
            </c:strRef>
          </c:tx>
          <c:spPr>
            <a:solidFill>
              <a:schemeClr val="accent4">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Sheet7!$BM$5:$BM$10</c:f>
              <c:numCache>
                <c:formatCode>General</c:formatCode>
                <c:ptCount val="5"/>
                <c:pt idx="2">
                  <c:v>1</c:v>
                </c:pt>
                <c:pt idx="3">
                  <c:v>2</c:v>
                </c:pt>
                <c:pt idx="4">
                  <c:v>2</c:v>
                </c:pt>
              </c:numCache>
            </c:numRef>
          </c:val>
          <c:extLst>
            <c:ext xmlns:c16="http://schemas.microsoft.com/office/drawing/2014/chart" uri="{C3380CC4-5D6E-409C-BE32-E72D297353CC}">
              <c16:uniqueId val="{00000163-1945-4EA5-ACB9-6C10A4EA77F6}"/>
            </c:ext>
          </c:extLst>
        </c:ser>
        <c:ser>
          <c:idx val="64"/>
          <c:order val="64"/>
          <c:tx>
            <c:strRef>
              <c:f>Sheet7!$BN$3:$BN$4</c:f>
              <c:strCache>
                <c:ptCount val="1"/>
                <c:pt idx="0">
                  <c:v>06-Mar</c:v>
                </c:pt>
              </c:strCache>
            </c:strRef>
          </c:tx>
          <c:spPr>
            <a:solidFill>
              <a:schemeClr val="accent5">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Sheet7!$BN$5:$BN$10</c:f>
              <c:numCache>
                <c:formatCode>General</c:formatCode>
                <c:ptCount val="5"/>
                <c:pt idx="2">
                  <c:v>2</c:v>
                </c:pt>
                <c:pt idx="3">
                  <c:v>2</c:v>
                </c:pt>
                <c:pt idx="4">
                  <c:v>1</c:v>
                </c:pt>
              </c:numCache>
            </c:numRef>
          </c:val>
          <c:extLst>
            <c:ext xmlns:c16="http://schemas.microsoft.com/office/drawing/2014/chart" uri="{C3380CC4-5D6E-409C-BE32-E72D297353CC}">
              <c16:uniqueId val="{00000164-1945-4EA5-ACB9-6C10A4EA77F6}"/>
            </c:ext>
          </c:extLst>
        </c:ser>
        <c:ser>
          <c:idx val="65"/>
          <c:order val="65"/>
          <c:tx>
            <c:strRef>
              <c:f>Sheet7!$BO$3:$BO$4</c:f>
              <c:strCache>
                <c:ptCount val="1"/>
                <c:pt idx="0">
                  <c:v>07-Mar</c:v>
                </c:pt>
              </c:strCache>
            </c:strRef>
          </c:tx>
          <c:spPr>
            <a:solidFill>
              <a:schemeClr val="accent6">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Sheet7!$BO$5:$BO$10</c:f>
              <c:numCache>
                <c:formatCode>General</c:formatCode>
                <c:ptCount val="5"/>
                <c:pt idx="3">
                  <c:v>3</c:v>
                </c:pt>
                <c:pt idx="4">
                  <c:v>1</c:v>
                </c:pt>
              </c:numCache>
            </c:numRef>
          </c:val>
          <c:extLst>
            <c:ext xmlns:c16="http://schemas.microsoft.com/office/drawing/2014/chart" uri="{C3380CC4-5D6E-409C-BE32-E72D297353CC}">
              <c16:uniqueId val="{00000165-1945-4EA5-ACB9-6C10A4EA77F6}"/>
            </c:ext>
          </c:extLst>
        </c:ser>
        <c:ser>
          <c:idx val="66"/>
          <c:order val="66"/>
          <c:tx>
            <c:strRef>
              <c:f>Sheet7!$BP$3:$BP$4</c:f>
              <c:strCache>
                <c:ptCount val="1"/>
                <c:pt idx="0">
                  <c:v>08-Mar</c:v>
                </c:pt>
              </c:strCache>
            </c:strRef>
          </c:tx>
          <c:spPr>
            <a:solidFill>
              <a:schemeClr val="accent1">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Sheet7!$BP$5:$BP$10</c:f>
              <c:numCache>
                <c:formatCode>General</c:formatCode>
                <c:ptCount val="5"/>
                <c:pt idx="0">
                  <c:v>1</c:v>
                </c:pt>
                <c:pt idx="4">
                  <c:v>1</c:v>
                </c:pt>
              </c:numCache>
            </c:numRef>
          </c:val>
          <c:extLst>
            <c:ext xmlns:c16="http://schemas.microsoft.com/office/drawing/2014/chart" uri="{C3380CC4-5D6E-409C-BE32-E72D297353CC}">
              <c16:uniqueId val="{00000166-1945-4EA5-ACB9-6C10A4EA77F6}"/>
            </c:ext>
          </c:extLst>
        </c:ser>
        <c:ser>
          <c:idx val="67"/>
          <c:order val="67"/>
          <c:tx>
            <c:strRef>
              <c:f>Sheet7!$BQ$3:$BQ$4</c:f>
              <c:strCache>
                <c:ptCount val="1"/>
                <c:pt idx="0">
                  <c:v>09-Mar</c:v>
                </c:pt>
              </c:strCache>
            </c:strRef>
          </c:tx>
          <c:spPr>
            <a:solidFill>
              <a:schemeClr val="accent2">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Sheet7!$BQ$5:$BQ$10</c:f>
              <c:numCache>
                <c:formatCode>General</c:formatCode>
                <c:ptCount val="5"/>
                <c:pt idx="1">
                  <c:v>1</c:v>
                </c:pt>
                <c:pt idx="2">
                  <c:v>1</c:v>
                </c:pt>
                <c:pt idx="3">
                  <c:v>2</c:v>
                </c:pt>
                <c:pt idx="4">
                  <c:v>2</c:v>
                </c:pt>
              </c:numCache>
            </c:numRef>
          </c:val>
          <c:extLst>
            <c:ext xmlns:c16="http://schemas.microsoft.com/office/drawing/2014/chart" uri="{C3380CC4-5D6E-409C-BE32-E72D297353CC}">
              <c16:uniqueId val="{00000167-1945-4EA5-ACB9-6C10A4EA77F6}"/>
            </c:ext>
          </c:extLst>
        </c:ser>
        <c:ser>
          <c:idx val="68"/>
          <c:order val="68"/>
          <c:tx>
            <c:strRef>
              <c:f>Sheet7!$BR$3:$BR$4</c:f>
              <c:strCache>
                <c:ptCount val="1"/>
                <c:pt idx="0">
                  <c:v>10-Mar</c:v>
                </c:pt>
              </c:strCache>
            </c:strRef>
          </c:tx>
          <c:spPr>
            <a:solidFill>
              <a:schemeClr val="accent3">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Sheet7!$BR$5:$BR$10</c:f>
              <c:numCache>
                <c:formatCode>General</c:formatCode>
                <c:ptCount val="5"/>
                <c:pt idx="2">
                  <c:v>1</c:v>
                </c:pt>
                <c:pt idx="3">
                  <c:v>4</c:v>
                </c:pt>
                <c:pt idx="4">
                  <c:v>3</c:v>
                </c:pt>
              </c:numCache>
            </c:numRef>
          </c:val>
          <c:extLst>
            <c:ext xmlns:c16="http://schemas.microsoft.com/office/drawing/2014/chart" uri="{C3380CC4-5D6E-409C-BE32-E72D297353CC}">
              <c16:uniqueId val="{00000168-1945-4EA5-ACB9-6C10A4EA77F6}"/>
            </c:ext>
          </c:extLst>
        </c:ser>
        <c:ser>
          <c:idx val="69"/>
          <c:order val="69"/>
          <c:tx>
            <c:strRef>
              <c:f>Sheet7!$BS$3:$BS$4</c:f>
              <c:strCache>
                <c:ptCount val="1"/>
                <c:pt idx="0">
                  <c:v>11-Mar</c:v>
                </c:pt>
              </c:strCache>
            </c:strRef>
          </c:tx>
          <c:spPr>
            <a:solidFill>
              <a:schemeClr val="accent4">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Sheet7!$BS$5:$BS$10</c:f>
              <c:numCache>
                <c:formatCode>General</c:formatCode>
                <c:ptCount val="5"/>
                <c:pt idx="1">
                  <c:v>1</c:v>
                </c:pt>
                <c:pt idx="2">
                  <c:v>1</c:v>
                </c:pt>
                <c:pt idx="3">
                  <c:v>2</c:v>
                </c:pt>
                <c:pt idx="4">
                  <c:v>1</c:v>
                </c:pt>
              </c:numCache>
            </c:numRef>
          </c:val>
          <c:extLst>
            <c:ext xmlns:c16="http://schemas.microsoft.com/office/drawing/2014/chart" uri="{C3380CC4-5D6E-409C-BE32-E72D297353CC}">
              <c16:uniqueId val="{00000169-1945-4EA5-ACB9-6C10A4EA77F6}"/>
            </c:ext>
          </c:extLst>
        </c:ser>
        <c:ser>
          <c:idx val="70"/>
          <c:order val="70"/>
          <c:tx>
            <c:strRef>
              <c:f>Sheet7!$BT$3:$BT$4</c:f>
              <c:strCache>
                <c:ptCount val="1"/>
                <c:pt idx="0">
                  <c:v>12-Mar</c:v>
                </c:pt>
              </c:strCache>
            </c:strRef>
          </c:tx>
          <c:spPr>
            <a:solidFill>
              <a:schemeClr val="accent5">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Sheet7!$BT$5:$BT$10</c:f>
              <c:numCache>
                <c:formatCode>General</c:formatCode>
                <c:ptCount val="5"/>
                <c:pt idx="2">
                  <c:v>2</c:v>
                </c:pt>
                <c:pt idx="3">
                  <c:v>3</c:v>
                </c:pt>
                <c:pt idx="4">
                  <c:v>1</c:v>
                </c:pt>
              </c:numCache>
            </c:numRef>
          </c:val>
          <c:extLst>
            <c:ext xmlns:c16="http://schemas.microsoft.com/office/drawing/2014/chart" uri="{C3380CC4-5D6E-409C-BE32-E72D297353CC}">
              <c16:uniqueId val="{0000016A-1945-4EA5-ACB9-6C10A4EA77F6}"/>
            </c:ext>
          </c:extLst>
        </c:ser>
        <c:ser>
          <c:idx val="71"/>
          <c:order val="71"/>
          <c:tx>
            <c:strRef>
              <c:f>Sheet7!$BU$3:$BU$4</c:f>
              <c:strCache>
                <c:ptCount val="1"/>
                <c:pt idx="0">
                  <c:v>13-Mar</c:v>
                </c:pt>
              </c:strCache>
            </c:strRef>
          </c:tx>
          <c:spPr>
            <a:solidFill>
              <a:schemeClr val="accent6">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Sheet7!$BU$5:$BU$10</c:f>
              <c:numCache>
                <c:formatCode>General</c:formatCode>
                <c:ptCount val="5"/>
                <c:pt idx="2">
                  <c:v>1</c:v>
                </c:pt>
              </c:numCache>
            </c:numRef>
          </c:val>
          <c:extLst>
            <c:ext xmlns:c16="http://schemas.microsoft.com/office/drawing/2014/chart" uri="{C3380CC4-5D6E-409C-BE32-E72D297353CC}">
              <c16:uniqueId val="{0000016B-1945-4EA5-ACB9-6C10A4EA77F6}"/>
            </c:ext>
          </c:extLst>
        </c:ser>
        <c:ser>
          <c:idx val="72"/>
          <c:order val="72"/>
          <c:tx>
            <c:strRef>
              <c:f>Sheet7!$BV$3:$BV$4</c:f>
              <c:strCache>
                <c:ptCount val="1"/>
                <c:pt idx="0">
                  <c:v>14-Mar</c:v>
                </c:pt>
              </c:strCache>
            </c:strRef>
          </c:tx>
          <c:spPr>
            <a:solidFill>
              <a:schemeClr val="accent1">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Sheet7!$BV$5:$BV$10</c:f>
              <c:numCache>
                <c:formatCode>General</c:formatCode>
                <c:ptCount val="5"/>
                <c:pt idx="1">
                  <c:v>1</c:v>
                </c:pt>
                <c:pt idx="4">
                  <c:v>2</c:v>
                </c:pt>
              </c:numCache>
            </c:numRef>
          </c:val>
          <c:extLst>
            <c:ext xmlns:c16="http://schemas.microsoft.com/office/drawing/2014/chart" uri="{C3380CC4-5D6E-409C-BE32-E72D297353CC}">
              <c16:uniqueId val="{0000016C-1945-4EA5-ACB9-6C10A4EA77F6}"/>
            </c:ext>
          </c:extLst>
        </c:ser>
        <c:ser>
          <c:idx val="73"/>
          <c:order val="73"/>
          <c:tx>
            <c:strRef>
              <c:f>Sheet7!$BW$3:$BW$4</c:f>
              <c:strCache>
                <c:ptCount val="1"/>
                <c:pt idx="0">
                  <c:v>15-Mar</c:v>
                </c:pt>
              </c:strCache>
            </c:strRef>
          </c:tx>
          <c:spPr>
            <a:solidFill>
              <a:schemeClr val="accent2">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Sheet7!$BW$5:$BW$10</c:f>
              <c:numCache>
                <c:formatCode>General</c:formatCode>
                <c:ptCount val="5"/>
                <c:pt idx="2">
                  <c:v>1</c:v>
                </c:pt>
                <c:pt idx="4">
                  <c:v>2</c:v>
                </c:pt>
              </c:numCache>
            </c:numRef>
          </c:val>
          <c:extLst>
            <c:ext xmlns:c16="http://schemas.microsoft.com/office/drawing/2014/chart" uri="{C3380CC4-5D6E-409C-BE32-E72D297353CC}">
              <c16:uniqueId val="{0000016D-1945-4EA5-ACB9-6C10A4EA77F6}"/>
            </c:ext>
          </c:extLst>
        </c:ser>
        <c:ser>
          <c:idx val="74"/>
          <c:order val="74"/>
          <c:tx>
            <c:strRef>
              <c:f>Sheet7!$BX$3:$BX$4</c:f>
              <c:strCache>
                <c:ptCount val="1"/>
                <c:pt idx="0">
                  <c:v>16-Mar</c:v>
                </c:pt>
              </c:strCache>
            </c:strRef>
          </c:tx>
          <c:spPr>
            <a:solidFill>
              <a:schemeClr val="accent3">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Sheet7!$BX$5:$BX$10</c:f>
              <c:numCache>
                <c:formatCode>General</c:formatCode>
                <c:ptCount val="5"/>
                <c:pt idx="2">
                  <c:v>2</c:v>
                </c:pt>
                <c:pt idx="3">
                  <c:v>1</c:v>
                </c:pt>
                <c:pt idx="4">
                  <c:v>2</c:v>
                </c:pt>
              </c:numCache>
            </c:numRef>
          </c:val>
          <c:extLst>
            <c:ext xmlns:c16="http://schemas.microsoft.com/office/drawing/2014/chart" uri="{C3380CC4-5D6E-409C-BE32-E72D297353CC}">
              <c16:uniqueId val="{0000016E-1945-4EA5-ACB9-6C10A4EA77F6}"/>
            </c:ext>
          </c:extLst>
        </c:ser>
        <c:ser>
          <c:idx val="75"/>
          <c:order val="75"/>
          <c:tx>
            <c:strRef>
              <c:f>Sheet7!$BY$3:$BY$4</c:f>
              <c:strCache>
                <c:ptCount val="1"/>
                <c:pt idx="0">
                  <c:v>17-Mar</c:v>
                </c:pt>
              </c:strCache>
            </c:strRef>
          </c:tx>
          <c:spPr>
            <a:solidFill>
              <a:schemeClr val="accent4">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Sheet7!$BY$5:$BY$10</c:f>
              <c:numCache>
                <c:formatCode>General</c:formatCode>
                <c:ptCount val="5"/>
                <c:pt idx="2">
                  <c:v>1</c:v>
                </c:pt>
                <c:pt idx="3">
                  <c:v>3</c:v>
                </c:pt>
                <c:pt idx="4">
                  <c:v>1</c:v>
                </c:pt>
              </c:numCache>
            </c:numRef>
          </c:val>
          <c:extLst>
            <c:ext xmlns:c16="http://schemas.microsoft.com/office/drawing/2014/chart" uri="{C3380CC4-5D6E-409C-BE32-E72D297353CC}">
              <c16:uniqueId val="{0000016F-1945-4EA5-ACB9-6C10A4EA77F6}"/>
            </c:ext>
          </c:extLst>
        </c:ser>
        <c:ser>
          <c:idx val="76"/>
          <c:order val="76"/>
          <c:tx>
            <c:strRef>
              <c:f>Sheet7!$BZ$3:$BZ$4</c:f>
              <c:strCache>
                <c:ptCount val="1"/>
                <c:pt idx="0">
                  <c:v>18-Mar</c:v>
                </c:pt>
              </c:strCache>
            </c:strRef>
          </c:tx>
          <c:spPr>
            <a:solidFill>
              <a:schemeClr val="accent5">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Sheet7!$BZ$5:$BZ$10</c:f>
              <c:numCache>
                <c:formatCode>General</c:formatCode>
                <c:ptCount val="5"/>
                <c:pt idx="3">
                  <c:v>2</c:v>
                </c:pt>
                <c:pt idx="4">
                  <c:v>1</c:v>
                </c:pt>
              </c:numCache>
            </c:numRef>
          </c:val>
          <c:extLst>
            <c:ext xmlns:c16="http://schemas.microsoft.com/office/drawing/2014/chart" uri="{C3380CC4-5D6E-409C-BE32-E72D297353CC}">
              <c16:uniqueId val="{00000170-1945-4EA5-ACB9-6C10A4EA77F6}"/>
            </c:ext>
          </c:extLst>
        </c:ser>
        <c:ser>
          <c:idx val="77"/>
          <c:order val="77"/>
          <c:tx>
            <c:strRef>
              <c:f>Sheet7!$CA$3:$CA$4</c:f>
              <c:strCache>
                <c:ptCount val="1"/>
                <c:pt idx="0">
                  <c:v>19-Mar</c:v>
                </c:pt>
              </c:strCache>
            </c:strRef>
          </c:tx>
          <c:spPr>
            <a:solidFill>
              <a:schemeClr val="accent6">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Sheet7!$CA$5:$CA$10</c:f>
              <c:numCache>
                <c:formatCode>General</c:formatCode>
                <c:ptCount val="5"/>
                <c:pt idx="3">
                  <c:v>7</c:v>
                </c:pt>
                <c:pt idx="4">
                  <c:v>3</c:v>
                </c:pt>
              </c:numCache>
            </c:numRef>
          </c:val>
          <c:extLst>
            <c:ext xmlns:c16="http://schemas.microsoft.com/office/drawing/2014/chart" uri="{C3380CC4-5D6E-409C-BE32-E72D297353CC}">
              <c16:uniqueId val="{00000171-1945-4EA5-ACB9-6C10A4EA77F6}"/>
            </c:ext>
          </c:extLst>
        </c:ser>
        <c:ser>
          <c:idx val="78"/>
          <c:order val="78"/>
          <c:tx>
            <c:strRef>
              <c:f>Sheet7!$CB$3:$CB$4</c:f>
              <c:strCache>
                <c:ptCount val="1"/>
                <c:pt idx="0">
                  <c:v>20-Mar</c:v>
                </c:pt>
              </c:strCache>
            </c:strRef>
          </c:tx>
          <c:spPr>
            <a:solidFill>
              <a:schemeClr val="accent1">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Sheet7!$CB$5:$CB$10</c:f>
              <c:numCache>
                <c:formatCode>General</c:formatCode>
                <c:ptCount val="5"/>
                <c:pt idx="3">
                  <c:v>3</c:v>
                </c:pt>
                <c:pt idx="4">
                  <c:v>1</c:v>
                </c:pt>
              </c:numCache>
            </c:numRef>
          </c:val>
          <c:extLst>
            <c:ext xmlns:c16="http://schemas.microsoft.com/office/drawing/2014/chart" uri="{C3380CC4-5D6E-409C-BE32-E72D297353CC}">
              <c16:uniqueId val="{00000172-1945-4EA5-ACB9-6C10A4EA77F6}"/>
            </c:ext>
          </c:extLst>
        </c:ser>
        <c:ser>
          <c:idx val="79"/>
          <c:order val="79"/>
          <c:tx>
            <c:strRef>
              <c:f>Sheet7!$CC$3:$CC$4</c:f>
              <c:strCache>
                <c:ptCount val="1"/>
                <c:pt idx="0">
                  <c:v>22-Mar</c:v>
                </c:pt>
              </c:strCache>
            </c:strRef>
          </c:tx>
          <c:spPr>
            <a:solidFill>
              <a:schemeClr val="accent2">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Sheet7!$CC$5:$CC$10</c:f>
              <c:numCache>
                <c:formatCode>General</c:formatCode>
                <c:ptCount val="5"/>
                <c:pt idx="1">
                  <c:v>1</c:v>
                </c:pt>
                <c:pt idx="2">
                  <c:v>3</c:v>
                </c:pt>
                <c:pt idx="3">
                  <c:v>2</c:v>
                </c:pt>
              </c:numCache>
            </c:numRef>
          </c:val>
          <c:extLst>
            <c:ext xmlns:c16="http://schemas.microsoft.com/office/drawing/2014/chart" uri="{C3380CC4-5D6E-409C-BE32-E72D297353CC}">
              <c16:uniqueId val="{00000173-1945-4EA5-ACB9-6C10A4EA77F6}"/>
            </c:ext>
          </c:extLst>
        </c:ser>
        <c:ser>
          <c:idx val="80"/>
          <c:order val="80"/>
          <c:tx>
            <c:strRef>
              <c:f>Sheet7!$CD$3:$CD$4</c:f>
              <c:strCache>
                <c:ptCount val="1"/>
                <c:pt idx="0">
                  <c:v>23-Mar</c:v>
                </c:pt>
              </c:strCache>
            </c:strRef>
          </c:tx>
          <c:spPr>
            <a:solidFill>
              <a:schemeClr val="accent3">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Sheet7!$CD$5:$CD$10</c:f>
              <c:numCache>
                <c:formatCode>General</c:formatCode>
                <c:ptCount val="5"/>
                <c:pt idx="3">
                  <c:v>5</c:v>
                </c:pt>
                <c:pt idx="4">
                  <c:v>2</c:v>
                </c:pt>
              </c:numCache>
            </c:numRef>
          </c:val>
          <c:extLst>
            <c:ext xmlns:c16="http://schemas.microsoft.com/office/drawing/2014/chart" uri="{C3380CC4-5D6E-409C-BE32-E72D297353CC}">
              <c16:uniqueId val="{00000174-1945-4EA5-ACB9-6C10A4EA77F6}"/>
            </c:ext>
          </c:extLst>
        </c:ser>
        <c:ser>
          <c:idx val="81"/>
          <c:order val="81"/>
          <c:tx>
            <c:strRef>
              <c:f>Sheet7!$CE$3:$CE$4</c:f>
              <c:strCache>
                <c:ptCount val="1"/>
                <c:pt idx="0">
                  <c:v>24-Mar</c:v>
                </c:pt>
              </c:strCache>
            </c:strRef>
          </c:tx>
          <c:spPr>
            <a:solidFill>
              <a:schemeClr val="accent4">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Sheet7!$CE$5:$CE$10</c:f>
              <c:numCache>
                <c:formatCode>General</c:formatCode>
                <c:ptCount val="5"/>
                <c:pt idx="3">
                  <c:v>3</c:v>
                </c:pt>
                <c:pt idx="4">
                  <c:v>5</c:v>
                </c:pt>
              </c:numCache>
            </c:numRef>
          </c:val>
          <c:extLst>
            <c:ext xmlns:c16="http://schemas.microsoft.com/office/drawing/2014/chart" uri="{C3380CC4-5D6E-409C-BE32-E72D297353CC}">
              <c16:uniqueId val="{00000175-1945-4EA5-ACB9-6C10A4EA77F6}"/>
            </c:ext>
          </c:extLst>
        </c:ser>
        <c:ser>
          <c:idx val="82"/>
          <c:order val="82"/>
          <c:tx>
            <c:strRef>
              <c:f>Sheet7!$CF$3:$CF$4</c:f>
              <c:strCache>
                <c:ptCount val="1"/>
                <c:pt idx="0">
                  <c:v>25-Mar</c:v>
                </c:pt>
              </c:strCache>
            </c:strRef>
          </c:tx>
          <c:spPr>
            <a:solidFill>
              <a:schemeClr val="accent5">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Sheet7!$CF$5:$CF$10</c:f>
              <c:numCache>
                <c:formatCode>General</c:formatCode>
                <c:ptCount val="5"/>
                <c:pt idx="2">
                  <c:v>1</c:v>
                </c:pt>
                <c:pt idx="3">
                  <c:v>2</c:v>
                </c:pt>
                <c:pt idx="4">
                  <c:v>1</c:v>
                </c:pt>
              </c:numCache>
            </c:numRef>
          </c:val>
          <c:extLst>
            <c:ext xmlns:c16="http://schemas.microsoft.com/office/drawing/2014/chart" uri="{C3380CC4-5D6E-409C-BE32-E72D297353CC}">
              <c16:uniqueId val="{00000176-1945-4EA5-ACB9-6C10A4EA77F6}"/>
            </c:ext>
          </c:extLst>
        </c:ser>
        <c:ser>
          <c:idx val="83"/>
          <c:order val="83"/>
          <c:tx>
            <c:strRef>
              <c:f>Sheet7!$CG$3:$CG$4</c:f>
              <c:strCache>
                <c:ptCount val="1"/>
                <c:pt idx="0">
                  <c:v>26-Mar</c:v>
                </c:pt>
              </c:strCache>
            </c:strRef>
          </c:tx>
          <c:spPr>
            <a:solidFill>
              <a:schemeClr val="accent6">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Sheet7!$CG$5:$CG$10</c:f>
              <c:numCache>
                <c:formatCode>General</c:formatCode>
                <c:ptCount val="5"/>
                <c:pt idx="2">
                  <c:v>1</c:v>
                </c:pt>
                <c:pt idx="3">
                  <c:v>3</c:v>
                </c:pt>
                <c:pt idx="4">
                  <c:v>2</c:v>
                </c:pt>
              </c:numCache>
            </c:numRef>
          </c:val>
          <c:extLst>
            <c:ext xmlns:c16="http://schemas.microsoft.com/office/drawing/2014/chart" uri="{C3380CC4-5D6E-409C-BE32-E72D297353CC}">
              <c16:uniqueId val="{00000177-1945-4EA5-ACB9-6C10A4EA77F6}"/>
            </c:ext>
          </c:extLst>
        </c:ser>
        <c:ser>
          <c:idx val="84"/>
          <c:order val="84"/>
          <c:tx>
            <c:strRef>
              <c:f>Sheet7!$CH$3:$CH$4</c:f>
              <c:strCache>
                <c:ptCount val="1"/>
                <c:pt idx="0">
                  <c:v>27-Mar</c:v>
                </c:pt>
              </c:strCache>
            </c:strRef>
          </c:tx>
          <c:spPr>
            <a:solidFill>
              <a:schemeClr val="accent1">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Sheet7!$CH$5:$CH$10</c:f>
              <c:numCache>
                <c:formatCode>General</c:formatCode>
                <c:ptCount val="5"/>
                <c:pt idx="2">
                  <c:v>1</c:v>
                </c:pt>
                <c:pt idx="3">
                  <c:v>1</c:v>
                </c:pt>
                <c:pt idx="4">
                  <c:v>1</c:v>
                </c:pt>
              </c:numCache>
            </c:numRef>
          </c:val>
          <c:extLst>
            <c:ext xmlns:c16="http://schemas.microsoft.com/office/drawing/2014/chart" uri="{C3380CC4-5D6E-409C-BE32-E72D297353CC}">
              <c16:uniqueId val="{00000178-1945-4EA5-ACB9-6C10A4EA77F6}"/>
            </c:ext>
          </c:extLst>
        </c:ser>
        <c:ser>
          <c:idx val="85"/>
          <c:order val="85"/>
          <c:tx>
            <c:strRef>
              <c:f>Sheet7!$CI$3:$CI$4</c:f>
              <c:strCache>
                <c:ptCount val="1"/>
                <c:pt idx="0">
                  <c:v>28-Mar</c:v>
                </c:pt>
              </c:strCache>
            </c:strRef>
          </c:tx>
          <c:spPr>
            <a:solidFill>
              <a:schemeClr val="accent2">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Sheet7!$CI$5:$CI$10</c:f>
              <c:numCache>
                <c:formatCode>General</c:formatCode>
                <c:ptCount val="5"/>
                <c:pt idx="4">
                  <c:v>1</c:v>
                </c:pt>
              </c:numCache>
            </c:numRef>
          </c:val>
          <c:extLst>
            <c:ext xmlns:c16="http://schemas.microsoft.com/office/drawing/2014/chart" uri="{C3380CC4-5D6E-409C-BE32-E72D297353CC}">
              <c16:uniqueId val="{00000179-1945-4EA5-ACB9-6C10A4EA77F6}"/>
            </c:ext>
          </c:extLst>
        </c:ser>
        <c:ser>
          <c:idx val="86"/>
          <c:order val="86"/>
          <c:tx>
            <c:strRef>
              <c:f>Sheet7!$CJ$3:$CJ$4</c:f>
              <c:strCache>
                <c:ptCount val="1"/>
                <c:pt idx="0">
                  <c:v>29-Mar</c:v>
                </c:pt>
              </c:strCache>
            </c:strRef>
          </c:tx>
          <c:spPr>
            <a:solidFill>
              <a:schemeClr val="accent3">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Sheet7!$CJ$5:$CJ$10</c:f>
              <c:numCache>
                <c:formatCode>General</c:formatCode>
                <c:ptCount val="5"/>
                <c:pt idx="3">
                  <c:v>1</c:v>
                </c:pt>
                <c:pt idx="4">
                  <c:v>2</c:v>
                </c:pt>
              </c:numCache>
            </c:numRef>
          </c:val>
          <c:extLst>
            <c:ext xmlns:c16="http://schemas.microsoft.com/office/drawing/2014/chart" uri="{C3380CC4-5D6E-409C-BE32-E72D297353CC}">
              <c16:uniqueId val="{0000017A-1945-4EA5-ACB9-6C10A4EA77F6}"/>
            </c:ext>
          </c:extLst>
        </c:ser>
        <c:dLbls>
          <c:showLegendKey val="0"/>
          <c:showVal val="0"/>
          <c:showCatName val="0"/>
          <c:showSerName val="0"/>
          <c:showPercent val="0"/>
          <c:showBubbleSize val="0"/>
        </c:dLbls>
        <c:gapWidth val="150"/>
        <c:overlap val="100"/>
        <c:axId val="1473957023"/>
        <c:axId val="1473963263"/>
      </c:barChart>
      <c:catAx>
        <c:axId val="14739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963263"/>
        <c:crosses val="autoZero"/>
        <c:auto val="1"/>
        <c:lblAlgn val="ctr"/>
        <c:lblOffset val="100"/>
        <c:noMultiLvlLbl val="0"/>
      </c:catAx>
      <c:valAx>
        <c:axId val="14739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9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Project.xlsx]Sheet7!PivotTable8</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01-Jan</c:v>
                </c:pt>
              </c:strCache>
            </c:strRef>
          </c:tx>
          <c:spPr>
            <a:solidFill>
              <a:schemeClr val="accent1"/>
            </a:solidFill>
            <a:ln>
              <a:noFill/>
            </a:ln>
            <a:effectLst/>
          </c:spPr>
          <c:invertIfNegative val="0"/>
          <c:cat>
            <c:strRef>
              <c:f>Sheet7!$A$5:$A$10</c:f>
              <c:strCache>
                <c:ptCount val="5"/>
                <c:pt idx="0">
                  <c:v>1</c:v>
                </c:pt>
                <c:pt idx="1">
                  <c:v>2</c:v>
                </c:pt>
                <c:pt idx="2">
                  <c:v>3</c:v>
                </c:pt>
                <c:pt idx="3">
                  <c:v>4</c:v>
                </c:pt>
                <c:pt idx="4">
                  <c:v>5</c:v>
                </c:pt>
              </c:strCache>
            </c:strRef>
          </c:cat>
          <c:val>
            <c:numRef>
              <c:f>Sheet7!$B$5:$B$10</c:f>
              <c:numCache>
                <c:formatCode>General</c:formatCode>
                <c:ptCount val="5"/>
                <c:pt idx="2">
                  <c:v>2</c:v>
                </c:pt>
                <c:pt idx="3">
                  <c:v>5</c:v>
                </c:pt>
                <c:pt idx="4">
                  <c:v>1</c:v>
                </c:pt>
              </c:numCache>
            </c:numRef>
          </c:val>
          <c:extLst>
            <c:ext xmlns:c16="http://schemas.microsoft.com/office/drawing/2014/chart" uri="{C3380CC4-5D6E-409C-BE32-E72D297353CC}">
              <c16:uniqueId val="{00000000-C065-4FDE-A413-A0E08540D9EA}"/>
            </c:ext>
          </c:extLst>
        </c:ser>
        <c:ser>
          <c:idx val="1"/>
          <c:order val="1"/>
          <c:tx>
            <c:strRef>
              <c:f>Sheet7!$C$3:$C$4</c:f>
              <c:strCache>
                <c:ptCount val="1"/>
                <c:pt idx="0">
                  <c:v>02-Jan</c:v>
                </c:pt>
              </c:strCache>
            </c:strRef>
          </c:tx>
          <c:spPr>
            <a:solidFill>
              <a:schemeClr val="accent2"/>
            </a:solidFill>
            <a:ln>
              <a:noFill/>
            </a:ln>
            <a:effectLst/>
          </c:spPr>
          <c:invertIfNegative val="0"/>
          <c:cat>
            <c:strRef>
              <c:f>Sheet7!$A$5:$A$10</c:f>
              <c:strCache>
                <c:ptCount val="5"/>
                <c:pt idx="0">
                  <c:v>1</c:v>
                </c:pt>
                <c:pt idx="1">
                  <c:v>2</c:v>
                </c:pt>
                <c:pt idx="2">
                  <c:v>3</c:v>
                </c:pt>
                <c:pt idx="3">
                  <c:v>4</c:v>
                </c:pt>
                <c:pt idx="4">
                  <c:v>5</c:v>
                </c:pt>
              </c:strCache>
            </c:strRef>
          </c:cat>
          <c:val>
            <c:numRef>
              <c:f>Sheet7!$C$5:$C$10</c:f>
              <c:numCache>
                <c:formatCode>General</c:formatCode>
                <c:ptCount val="5"/>
                <c:pt idx="2">
                  <c:v>1</c:v>
                </c:pt>
                <c:pt idx="3">
                  <c:v>3</c:v>
                </c:pt>
                <c:pt idx="4">
                  <c:v>1</c:v>
                </c:pt>
              </c:numCache>
            </c:numRef>
          </c:val>
          <c:extLst>
            <c:ext xmlns:c16="http://schemas.microsoft.com/office/drawing/2014/chart" uri="{C3380CC4-5D6E-409C-BE32-E72D297353CC}">
              <c16:uniqueId val="{00000001-C065-4FDE-A413-A0E08540D9EA}"/>
            </c:ext>
          </c:extLst>
        </c:ser>
        <c:ser>
          <c:idx val="2"/>
          <c:order val="2"/>
          <c:tx>
            <c:strRef>
              <c:f>Sheet7!$D$3:$D$4</c:f>
              <c:strCache>
                <c:ptCount val="1"/>
                <c:pt idx="0">
                  <c:v>03-Jan</c:v>
                </c:pt>
              </c:strCache>
            </c:strRef>
          </c:tx>
          <c:spPr>
            <a:solidFill>
              <a:schemeClr val="accent3"/>
            </a:solidFill>
            <a:ln>
              <a:noFill/>
            </a:ln>
            <a:effectLst/>
          </c:spPr>
          <c:invertIfNegative val="0"/>
          <c:cat>
            <c:strRef>
              <c:f>Sheet7!$A$5:$A$10</c:f>
              <c:strCache>
                <c:ptCount val="5"/>
                <c:pt idx="0">
                  <c:v>1</c:v>
                </c:pt>
                <c:pt idx="1">
                  <c:v>2</c:v>
                </c:pt>
                <c:pt idx="2">
                  <c:v>3</c:v>
                </c:pt>
                <c:pt idx="3">
                  <c:v>4</c:v>
                </c:pt>
                <c:pt idx="4">
                  <c:v>5</c:v>
                </c:pt>
              </c:strCache>
            </c:strRef>
          </c:cat>
          <c:val>
            <c:numRef>
              <c:f>Sheet7!$D$5:$D$10</c:f>
              <c:numCache>
                <c:formatCode>General</c:formatCode>
                <c:ptCount val="5"/>
                <c:pt idx="2">
                  <c:v>2</c:v>
                </c:pt>
                <c:pt idx="3">
                  <c:v>3</c:v>
                </c:pt>
                <c:pt idx="4">
                  <c:v>3</c:v>
                </c:pt>
              </c:numCache>
            </c:numRef>
          </c:val>
          <c:extLst>
            <c:ext xmlns:c16="http://schemas.microsoft.com/office/drawing/2014/chart" uri="{C3380CC4-5D6E-409C-BE32-E72D297353CC}">
              <c16:uniqueId val="{00000002-C065-4FDE-A413-A0E08540D9EA}"/>
            </c:ext>
          </c:extLst>
        </c:ser>
        <c:ser>
          <c:idx val="3"/>
          <c:order val="3"/>
          <c:tx>
            <c:strRef>
              <c:f>Sheet7!$E$3:$E$4</c:f>
              <c:strCache>
                <c:ptCount val="1"/>
                <c:pt idx="0">
                  <c:v>04-Jan</c:v>
                </c:pt>
              </c:strCache>
            </c:strRef>
          </c:tx>
          <c:spPr>
            <a:solidFill>
              <a:schemeClr val="accent4"/>
            </a:solidFill>
            <a:ln>
              <a:noFill/>
            </a:ln>
            <a:effectLst/>
          </c:spPr>
          <c:invertIfNegative val="0"/>
          <c:cat>
            <c:strRef>
              <c:f>Sheet7!$A$5:$A$10</c:f>
              <c:strCache>
                <c:ptCount val="5"/>
                <c:pt idx="0">
                  <c:v>1</c:v>
                </c:pt>
                <c:pt idx="1">
                  <c:v>2</c:v>
                </c:pt>
                <c:pt idx="2">
                  <c:v>3</c:v>
                </c:pt>
                <c:pt idx="3">
                  <c:v>4</c:v>
                </c:pt>
                <c:pt idx="4">
                  <c:v>5</c:v>
                </c:pt>
              </c:strCache>
            </c:strRef>
          </c:cat>
          <c:val>
            <c:numRef>
              <c:f>Sheet7!$E$5:$E$10</c:f>
              <c:numCache>
                <c:formatCode>General</c:formatCode>
                <c:ptCount val="5"/>
                <c:pt idx="2">
                  <c:v>1</c:v>
                </c:pt>
                <c:pt idx="4">
                  <c:v>2</c:v>
                </c:pt>
              </c:numCache>
            </c:numRef>
          </c:val>
          <c:extLst>
            <c:ext xmlns:c16="http://schemas.microsoft.com/office/drawing/2014/chart" uri="{C3380CC4-5D6E-409C-BE32-E72D297353CC}">
              <c16:uniqueId val="{00000003-C065-4FDE-A413-A0E08540D9EA}"/>
            </c:ext>
          </c:extLst>
        </c:ser>
        <c:ser>
          <c:idx val="4"/>
          <c:order val="4"/>
          <c:tx>
            <c:strRef>
              <c:f>Sheet7!$F$3:$F$4</c:f>
              <c:strCache>
                <c:ptCount val="1"/>
                <c:pt idx="0">
                  <c:v>05-Jan</c:v>
                </c:pt>
              </c:strCache>
            </c:strRef>
          </c:tx>
          <c:spPr>
            <a:solidFill>
              <a:schemeClr val="accent5"/>
            </a:solidFill>
            <a:ln>
              <a:noFill/>
            </a:ln>
            <a:effectLst/>
          </c:spPr>
          <c:invertIfNegative val="0"/>
          <c:cat>
            <c:strRef>
              <c:f>Sheet7!$A$5:$A$10</c:f>
              <c:strCache>
                <c:ptCount val="5"/>
                <c:pt idx="0">
                  <c:v>1</c:v>
                </c:pt>
                <c:pt idx="1">
                  <c:v>2</c:v>
                </c:pt>
                <c:pt idx="2">
                  <c:v>3</c:v>
                </c:pt>
                <c:pt idx="3">
                  <c:v>4</c:v>
                </c:pt>
                <c:pt idx="4">
                  <c:v>5</c:v>
                </c:pt>
              </c:strCache>
            </c:strRef>
          </c:cat>
          <c:val>
            <c:numRef>
              <c:f>Sheet7!$F$5:$F$10</c:f>
              <c:numCache>
                <c:formatCode>General</c:formatCode>
                <c:ptCount val="5"/>
                <c:pt idx="3">
                  <c:v>1</c:v>
                </c:pt>
              </c:numCache>
            </c:numRef>
          </c:val>
          <c:extLst>
            <c:ext xmlns:c16="http://schemas.microsoft.com/office/drawing/2014/chart" uri="{C3380CC4-5D6E-409C-BE32-E72D297353CC}">
              <c16:uniqueId val="{000000F8-C065-4FDE-A413-A0E08540D9EA}"/>
            </c:ext>
          </c:extLst>
        </c:ser>
        <c:ser>
          <c:idx val="5"/>
          <c:order val="5"/>
          <c:tx>
            <c:strRef>
              <c:f>Sheet7!$G$3:$G$4</c:f>
              <c:strCache>
                <c:ptCount val="1"/>
                <c:pt idx="0">
                  <c:v>06-Jan</c:v>
                </c:pt>
              </c:strCache>
            </c:strRef>
          </c:tx>
          <c:spPr>
            <a:solidFill>
              <a:schemeClr val="accent6"/>
            </a:solidFill>
            <a:ln>
              <a:noFill/>
            </a:ln>
            <a:effectLst/>
          </c:spPr>
          <c:invertIfNegative val="0"/>
          <c:cat>
            <c:strRef>
              <c:f>Sheet7!$A$5:$A$10</c:f>
              <c:strCache>
                <c:ptCount val="5"/>
                <c:pt idx="0">
                  <c:v>1</c:v>
                </c:pt>
                <c:pt idx="1">
                  <c:v>2</c:v>
                </c:pt>
                <c:pt idx="2">
                  <c:v>3</c:v>
                </c:pt>
                <c:pt idx="3">
                  <c:v>4</c:v>
                </c:pt>
                <c:pt idx="4">
                  <c:v>5</c:v>
                </c:pt>
              </c:strCache>
            </c:strRef>
          </c:cat>
          <c:val>
            <c:numRef>
              <c:f>Sheet7!$G$5:$G$10</c:f>
              <c:numCache>
                <c:formatCode>General</c:formatCode>
                <c:ptCount val="5"/>
                <c:pt idx="2">
                  <c:v>1</c:v>
                </c:pt>
                <c:pt idx="3">
                  <c:v>1</c:v>
                </c:pt>
                <c:pt idx="4">
                  <c:v>1</c:v>
                </c:pt>
              </c:numCache>
            </c:numRef>
          </c:val>
          <c:extLst>
            <c:ext xmlns:c16="http://schemas.microsoft.com/office/drawing/2014/chart" uri="{C3380CC4-5D6E-409C-BE32-E72D297353CC}">
              <c16:uniqueId val="{000000F9-C065-4FDE-A413-A0E08540D9EA}"/>
            </c:ext>
          </c:extLst>
        </c:ser>
        <c:ser>
          <c:idx val="6"/>
          <c:order val="6"/>
          <c:tx>
            <c:strRef>
              <c:f>Sheet7!$H$3:$H$4</c:f>
              <c:strCache>
                <c:ptCount val="1"/>
                <c:pt idx="0">
                  <c:v>07-Jan</c:v>
                </c:pt>
              </c:strCache>
            </c:strRef>
          </c:tx>
          <c:spPr>
            <a:solidFill>
              <a:schemeClr val="accent1">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Sheet7!$H$5:$H$10</c:f>
              <c:numCache>
                <c:formatCode>General</c:formatCode>
                <c:ptCount val="5"/>
                <c:pt idx="0">
                  <c:v>1</c:v>
                </c:pt>
                <c:pt idx="1">
                  <c:v>1</c:v>
                </c:pt>
                <c:pt idx="3">
                  <c:v>2</c:v>
                </c:pt>
                <c:pt idx="4">
                  <c:v>1</c:v>
                </c:pt>
              </c:numCache>
            </c:numRef>
          </c:val>
          <c:extLst>
            <c:ext xmlns:c16="http://schemas.microsoft.com/office/drawing/2014/chart" uri="{C3380CC4-5D6E-409C-BE32-E72D297353CC}">
              <c16:uniqueId val="{000000FA-C065-4FDE-A413-A0E08540D9EA}"/>
            </c:ext>
          </c:extLst>
        </c:ser>
        <c:ser>
          <c:idx val="7"/>
          <c:order val="7"/>
          <c:tx>
            <c:strRef>
              <c:f>Sheet7!$I$3:$I$4</c:f>
              <c:strCache>
                <c:ptCount val="1"/>
                <c:pt idx="0">
                  <c:v>08-Jan</c:v>
                </c:pt>
              </c:strCache>
            </c:strRef>
          </c:tx>
          <c:spPr>
            <a:solidFill>
              <a:schemeClr val="accent2">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Sheet7!$I$5:$I$10</c:f>
              <c:numCache>
                <c:formatCode>General</c:formatCode>
                <c:ptCount val="5"/>
                <c:pt idx="3">
                  <c:v>3</c:v>
                </c:pt>
                <c:pt idx="4">
                  <c:v>1</c:v>
                </c:pt>
              </c:numCache>
            </c:numRef>
          </c:val>
          <c:extLst>
            <c:ext xmlns:c16="http://schemas.microsoft.com/office/drawing/2014/chart" uri="{C3380CC4-5D6E-409C-BE32-E72D297353CC}">
              <c16:uniqueId val="{000000FB-C065-4FDE-A413-A0E08540D9EA}"/>
            </c:ext>
          </c:extLst>
        </c:ser>
        <c:ser>
          <c:idx val="8"/>
          <c:order val="8"/>
          <c:tx>
            <c:strRef>
              <c:f>Sheet7!$J$3:$J$4</c:f>
              <c:strCache>
                <c:ptCount val="1"/>
                <c:pt idx="0">
                  <c:v>09-Jan</c:v>
                </c:pt>
              </c:strCache>
            </c:strRef>
          </c:tx>
          <c:spPr>
            <a:solidFill>
              <a:schemeClr val="accent3">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Sheet7!$J$5:$J$10</c:f>
              <c:numCache>
                <c:formatCode>General</c:formatCode>
                <c:ptCount val="5"/>
                <c:pt idx="3">
                  <c:v>2</c:v>
                </c:pt>
                <c:pt idx="4">
                  <c:v>2</c:v>
                </c:pt>
              </c:numCache>
            </c:numRef>
          </c:val>
          <c:extLst>
            <c:ext xmlns:c16="http://schemas.microsoft.com/office/drawing/2014/chart" uri="{C3380CC4-5D6E-409C-BE32-E72D297353CC}">
              <c16:uniqueId val="{000000FC-C065-4FDE-A413-A0E08540D9EA}"/>
            </c:ext>
          </c:extLst>
        </c:ser>
        <c:ser>
          <c:idx val="9"/>
          <c:order val="9"/>
          <c:tx>
            <c:strRef>
              <c:f>Sheet7!$K$3:$K$4</c:f>
              <c:strCache>
                <c:ptCount val="1"/>
                <c:pt idx="0">
                  <c:v>10-Jan</c:v>
                </c:pt>
              </c:strCache>
            </c:strRef>
          </c:tx>
          <c:spPr>
            <a:solidFill>
              <a:schemeClr val="accent4">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Sheet7!$K$5:$K$10</c:f>
              <c:numCache>
                <c:formatCode>General</c:formatCode>
                <c:ptCount val="5"/>
                <c:pt idx="3">
                  <c:v>3</c:v>
                </c:pt>
                <c:pt idx="4">
                  <c:v>4</c:v>
                </c:pt>
              </c:numCache>
            </c:numRef>
          </c:val>
          <c:extLst>
            <c:ext xmlns:c16="http://schemas.microsoft.com/office/drawing/2014/chart" uri="{C3380CC4-5D6E-409C-BE32-E72D297353CC}">
              <c16:uniqueId val="{000000FD-C065-4FDE-A413-A0E08540D9EA}"/>
            </c:ext>
          </c:extLst>
        </c:ser>
        <c:ser>
          <c:idx val="10"/>
          <c:order val="10"/>
          <c:tx>
            <c:strRef>
              <c:f>Sheet7!$L$3:$L$4</c:f>
              <c:strCache>
                <c:ptCount val="1"/>
                <c:pt idx="0">
                  <c:v>11-Jan</c:v>
                </c:pt>
              </c:strCache>
            </c:strRef>
          </c:tx>
          <c:spPr>
            <a:solidFill>
              <a:schemeClr val="accent5">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Sheet7!$L$5:$L$10</c:f>
              <c:numCache>
                <c:formatCode>General</c:formatCode>
                <c:ptCount val="5"/>
                <c:pt idx="3">
                  <c:v>2</c:v>
                </c:pt>
              </c:numCache>
            </c:numRef>
          </c:val>
          <c:extLst>
            <c:ext xmlns:c16="http://schemas.microsoft.com/office/drawing/2014/chart" uri="{C3380CC4-5D6E-409C-BE32-E72D297353CC}">
              <c16:uniqueId val="{000000FE-C065-4FDE-A413-A0E08540D9EA}"/>
            </c:ext>
          </c:extLst>
        </c:ser>
        <c:ser>
          <c:idx val="11"/>
          <c:order val="11"/>
          <c:tx>
            <c:strRef>
              <c:f>Sheet7!$M$3:$M$4</c:f>
              <c:strCache>
                <c:ptCount val="1"/>
                <c:pt idx="0">
                  <c:v>12-Jan</c:v>
                </c:pt>
              </c:strCache>
            </c:strRef>
          </c:tx>
          <c:spPr>
            <a:solidFill>
              <a:schemeClr val="accent6">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Sheet7!$M$5:$M$10</c:f>
              <c:numCache>
                <c:formatCode>General</c:formatCode>
                <c:ptCount val="5"/>
                <c:pt idx="1">
                  <c:v>1</c:v>
                </c:pt>
                <c:pt idx="3">
                  <c:v>1</c:v>
                </c:pt>
                <c:pt idx="4">
                  <c:v>3</c:v>
                </c:pt>
              </c:numCache>
            </c:numRef>
          </c:val>
          <c:extLst>
            <c:ext xmlns:c16="http://schemas.microsoft.com/office/drawing/2014/chart" uri="{C3380CC4-5D6E-409C-BE32-E72D297353CC}">
              <c16:uniqueId val="{000000FF-C065-4FDE-A413-A0E08540D9EA}"/>
            </c:ext>
          </c:extLst>
        </c:ser>
        <c:ser>
          <c:idx val="12"/>
          <c:order val="12"/>
          <c:tx>
            <c:strRef>
              <c:f>Sheet7!$N$3:$N$4</c:f>
              <c:strCache>
                <c:ptCount val="1"/>
                <c:pt idx="0">
                  <c:v>13-Jan</c:v>
                </c:pt>
              </c:strCache>
            </c:strRef>
          </c:tx>
          <c:spPr>
            <a:solidFill>
              <a:schemeClr val="accent1">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Sheet7!$N$5:$N$10</c:f>
              <c:numCache>
                <c:formatCode>General</c:formatCode>
                <c:ptCount val="5"/>
                <c:pt idx="0">
                  <c:v>1</c:v>
                </c:pt>
                <c:pt idx="1">
                  <c:v>1</c:v>
                </c:pt>
                <c:pt idx="2">
                  <c:v>1</c:v>
                </c:pt>
                <c:pt idx="4">
                  <c:v>3</c:v>
                </c:pt>
              </c:numCache>
            </c:numRef>
          </c:val>
          <c:extLst>
            <c:ext xmlns:c16="http://schemas.microsoft.com/office/drawing/2014/chart" uri="{C3380CC4-5D6E-409C-BE32-E72D297353CC}">
              <c16:uniqueId val="{00000100-C065-4FDE-A413-A0E08540D9EA}"/>
            </c:ext>
          </c:extLst>
        </c:ser>
        <c:ser>
          <c:idx val="13"/>
          <c:order val="13"/>
          <c:tx>
            <c:strRef>
              <c:f>Sheet7!$O$3:$O$4</c:f>
              <c:strCache>
                <c:ptCount val="1"/>
                <c:pt idx="0">
                  <c:v>14-Jan</c:v>
                </c:pt>
              </c:strCache>
            </c:strRef>
          </c:tx>
          <c:spPr>
            <a:solidFill>
              <a:schemeClr val="accent2">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Sheet7!$O$5:$O$10</c:f>
              <c:numCache>
                <c:formatCode>General</c:formatCode>
                <c:ptCount val="5"/>
                <c:pt idx="2">
                  <c:v>1</c:v>
                </c:pt>
                <c:pt idx="3">
                  <c:v>2</c:v>
                </c:pt>
                <c:pt idx="4">
                  <c:v>2</c:v>
                </c:pt>
              </c:numCache>
            </c:numRef>
          </c:val>
          <c:extLst>
            <c:ext xmlns:c16="http://schemas.microsoft.com/office/drawing/2014/chart" uri="{C3380CC4-5D6E-409C-BE32-E72D297353CC}">
              <c16:uniqueId val="{00000101-C065-4FDE-A413-A0E08540D9EA}"/>
            </c:ext>
          </c:extLst>
        </c:ser>
        <c:ser>
          <c:idx val="14"/>
          <c:order val="14"/>
          <c:tx>
            <c:strRef>
              <c:f>Sheet7!$P$3:$P$4</c:f>
              <c:strCache>
                <c:ptCount val="1"/>
                <c:pt idx="0">
                  <c:v>15-Jan</c:v>
                </c:pt>
              </c:strCache>
            </c:strRef>
          </c:tx>
          <c:spPr>
            <a:solidFill>
              <a:schemeClr val="accent3">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Sheet7!$P$5:$P$10</c:f>
              <c:numCache>
                <c:formatCode>General</c:formatCode>
                <c:ptCount val="5"/>
                <c:pt idx="2">
                  <c:v>1</c:v>
                </c:pt>
                <c:pt idx="3">
                  <c:v>1</c:v>
                </c:pt>
                <c:pt idx="4">
                  <c:v>3</c:v>
                </c:pt>
              </c:numCache>
            </c:numRef>
          </c:val>
          <c:extLst>
            <c:ext xmlns:c16="http://schemas.microsoft.com/office/drawing/2014/chart" uri="{C3380CC4-5D6E-409C-BE32-E72D297353CC}">
              <c16:uniqueId val="{00000132-C065-4FDE-A413-A0E08540D9EA}"/>
            </c:ext>
          </c:extLst>
        </c:ser>
        <c:ser>
          <c:idx val="15"/>
          <c:order val="15"/>
          <c:tx>
            <c:strRef>
              <c:f>Sheet7!$Q$3:$Q$4</c:f>
              <c:strCache>
                <c:ptCount val="1"/>
                <c:pt idx="0">
                  <c:v>16-Jan</c:v>
                </c:pt>
              </c:strCache>
            </c:strRef>
          </c:tx>
          <c:spPr>
            <a:solidFill>
              <a:schemeClr val="accent4">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Sheet7!$Q$5:$Q$10</c:f>
              <c:numCache>
                <c:formatCode>General</c:formatCode>
                <c:ptCount val="5"/>
                <c:pt idx="4">
                  <c:v>1</c:v>
                </c:pt>
              </c:numCache>
            </c:numRef>
          </c:val>
          <c:extLst>
            <c:ext xmlns:c16="http://schemas.microsoft.com/office/drawing/2014/chart" uri="{C3380CC4-5D6E-409C-BE32-E72D297353CC}">
              <c16:uniqueId val="{00000133-C065-4FDE-A413-A0E08540D9EA}"/>
            </c:ext>
          </c:extLst>
        </c:ser>
        <c:ser>
          <c:idx val="16"/>
          <c:order val="16"/>
          <c:tx>
            <c:strRef>
              <c:f>Sheet7!$R$3:$R$4</c:f>
              <c:strCache>
                <c:ptCount val="1"/>
                <c:pt idx="0">
                  <c:v>17-Jan</c:v>
                </c:pt>
              </c:strCache>
            </c:strRef>
          </c:tx>
          <c:spPr>
            <a:solidFill>
              <a:schemeClr val="accent5">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Sheet7!$R$5:$R$10</c:f>
              <c:numCache>
                <c:formatCode>General</c:formatCode>
                <c:ptCount val="5"/>
                <c:pt idx="3">
                  <c:v>3</c:v>
                </c:pt>
              </c:numCache>
            </c:numRef>
          </c:val>
          <c:extLst>
            <c:ext xmlns:c16="http://schemas.microsoft.com/office/drawing/2014/chart" uri="{C3380CC4-5D6E-409C-BE32-E72D297353CC}">
              <c16:uniqueId val="{00000134-C065-4FDE-A413-A0E08540D9EA}"/>
            </c:ext>
          </c:extLst>
        </c:ser>
        <c:ser>
          <c:idx val="17"/>
          <c:order val="17"/>
          <c:tx>
            <c:strRef>
              <c:f>Sheet7!$S$3:$S$4</c:f>
              <c:strCache>
                <c:ptCount val="1"/>
                <c:pt idx="0">
                  <c:v>18-Jan</c:v>
                </c:pt>
              </c:strCache>
            </c:strRef>
          </c:tx>
          <c:spPr>
            <a:solidFill>
              <a:schemeClr val="accent6">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Sheet7!$S$5:$S$10</c:f>
              <c:numCache>
                <c:formatCode>General</c:formatCode>
                <c:ptCount val="5"/>
                <c:pt idx="3">
                  <c:v>1</c:v>
                </c:pt>
              </c:numCache>
            </c:numRef>
          </c:val>
          <c:extLst>
            <c:ext xmlns:c16="http://schemas.microsoft.com/office/drawing/2014/chart" uri="{C3380CC4-5D6E-409C-BE32-E72D297353CC}">
              <c16:uniqueId val="{00000135-C065-4FDE-A413-A0E08540D9EA}"/>
            </c:ext>
          </c:extLst>
        </c:ser>
        <c:ser>
          <c:idx val="18"/>
          <c:order val="18"/>
          <c:tx>
            <c:strRef>
              <c:f>Sheet7!$T$3:$T$4</c:f>
              <c:strCache>
                <c:ptCount val="1"/>
                <c:pt idx="0">
                  <c:v>19-Jan</c:v>
                </c:pt>
              </c:strCache>
            </c:strRef>
          </c:tx>
          <c:spPr>
            <a:solidFill>
              <a:schemeClr val="accent1">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Sheet7!$T$5:$T$10</c:f>
              <c:numCache>
                <c:formatCode>General</c:formatCode>
                <c:ptCount val="5"/>
                <c:pt idx="2">
                  <c:v>1</c:v>
                </c:pt>
                <c:pt idx="3">
                  <c:v>1</c:v>
                </c:pt>
                <c:pt idx="4">
                  <c:v>2</c:v>
                </c:pt>
              </c:numCache>
            </c:numRef>
          </c:val>
          <c:extLst>
            <c:ext xmlns:c16="http://schemas.microsoft.com/office/drawing/2014/chart" uri="{C3380CC4-5D6E-409C-BE32-E72D297353CC}">
              <c16:uniqueId val="{00000136-C065-4FDE-A413-A0E08540D9EA}"/>
            </c:ext>
          </c:extLst>
        </c:ser>
        <c:ser>
          <c:idx val="19"/>
          <c:order val="19"/>
          <c:tx>
            <c:strRef>
              <c:f>Sheet7!$U$3:$U$4</c:f>
              <c:strCache>
                <c:ptCount val="1"/>
                <c:pt idx="0">
                  <c:v>20-Jan</c:v>
                </c:pt>
              </c:strCache>
            </c:strRef>
          </c:tx>
          <c:spPr>
            <a:solidFill>
              <a:schemeClr val="accent2">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Sheet7!$U$5:$U$10</c:f>
              <c:numCache>
                <c:formatCode>General</c:formatCode>
                <c:ptCount val="5"/>
                <c:pt idx="1">
                  <c:v>1</c:v>
                </c:pt>
                <c:pt idx="2">
                  <c:v>2</c:v>
                </c:pt>
                <c:pt idx="3">
                  <c:v>2</c:v>
                </c:pt>
                <c:pt idx="4">
                  <c:v>3</c:v>
                </c:pt>
              </c:numCache>
            </c:numRef>
          </c:val>
          <c:extLst>
            <c:ext xmlns:c16="http://schemas.microsoft.com/office/drawing/2014/chart" uri="{C3380CC4-5D6E-409C-BE32-E72D297353CC}">
              <c16:uniqueId val="{00000137-C065-4FDE-A413-A0E08540D9EA}"/>
            </c:ext>
          </c:extLst>
        </c:ser>
        <c:ser>
          <c:idx val="20"/>
          <c:order val="20"/>
          <c:tx>
            <c:strRef>
              <c:f>Sheet7!$V$3:$V$4</c:f>
              <c:strCache>
                <c:ptCount val="1"/>
                <c:pt idx="0">
                  <c:v>21-Jan</c:v>
                </c:pt>
              </c:strCache>
            </c:strRef>
          </c:tx>
          <c:spPr>
            <a:solidFill>
              <a:schemeClr val="accent3">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Sheet7!$V$5:$V$10</c:f>
              <c:numCache>
                <c:formatCode>General</c:formatCode>
                <c:ptCount val="5"/>
                <c:pt idx="1">
                  <c:v>1</c:v>
                </c:pt>
                <c:pt idx="2">
                  <c:v>1</c:v>
                </c:pt>
                <c:pt idx="4">
                  <c:v>2</c:v>
                </c:pt>
              </c:numCache>
            </c:numRef>
          </c:val>
          <c:extLst>
            <c:ext xmlns:c16="http://schemas.microsoft.com/office/drawing/2014/chart" uri="{C3380CC4-5D6E-409C-BE32-E72D297353CC}">
              <c16:uniqueId val="{00000138-C065-4FDE-A413-A0E08540D9EA}"/>
            </c:ext>
          </c:extLst>
        </c:ser>
        <c:ser>
          <c:idx val="21"/>
          <c:order val="21"/>
          <c:tx>
            <c:strRef>
              <c:f>Sheet7!$W$3:$W$4</c:f>
              <c:strCache>
                <c:ptCount val="1"/>
                <c:pt idx="0">
                  <c:v>22-Jan</c:v>
                </c:pt>
              </c:strCache>
            </c:strRef>
          </c:tx>
          <c:spPr>
            <a:solidFill>
              <a:schemeClr val="accent4">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Sheet7!$W$5:$W$10</c:f>
              <c:numCache>
                <c:formatCode>General</c:formatCode>
                <c:ptCount val="5"/>
                <c:pt idx="2">
                  <c:v>1</c:v>
                </c:pt>
                <c:pt idx="4">
                  <c:v>1</c:v>
                </c:pt>
              </c:numCache>
            </c:numRef>
          </c:val>
          <c:extLst>
            <c:ext xmlns:c16="http://schemas.microsoft.com/office/drawing/2014/chart" uri="{C3380CC4-5D6E-409C-BE32-E72D297353CC}">
              <c16:uniqueId val="{00000139-C065-4FDE-A413-A0E08540D9EA}"/>
            </c:ext>
          </c:extLst>
        </c:ser>
        <c:ser>
          <c:idx val="22"/>
          <c:order val="22"/>
          <c:tx>
            <c:strRef>
              <c:f>Sheet7!$X$3:$X$4</c:f>
              <c:strCache>
                <c:ptCount val="1"/>
                <c:pt idx="0">
                  <c:v>23-Jan</c:v>
                </c:pt>
              </c:strCache>
            </c:strRef>
          </c:tx>
          <c:spPr>
            <a:solidFill>
              <a:schemeClr val="accent5">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Sheet7!$X$5:$X$10</c:f>
              <c:numCache>
                <c:formatCode>General</c:formatCode>
                <c:ptCount val="5"/>
                <c:pt idx="3">
                  <c:v>5</c:v>
                </c:pt>
              </c:numCache>
            </c:numRef>
          </c:val>
          <c:extLst>
            <c:ext xmlns:c16="http://schemas.microsoft.com/office/drawing/2014/chart" uri="{C3380CC4-5D6E-409C-BE32-E72D297353CC}">
              <c16:uniqueId val="{0000013A-C065-4FDE-A413-A0E08540D9EA}"/>
            </c:ext>
          </c:extLst>
        </c:ser>
        <c:ser>
          <c:idx val="23"/>
          <c:order val="23"/>
          <c:tx>
            <c:strRef>
              <c:f>Sheet7!$Y$3:$Y$4</c:f>
              <c:strCache>
                <c:ptCount val="1"/>
                <c:pt idx="0">
                  <c:v>24-Jan</c:v>
                </c:pt>
              </c:strCache>
            </c:strRef>
          </c:tx>
          <c:spPr>
            <a:solidFill>
              <a:schemeClr val="accent6">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Sheet7!$Y$5:$Y$10</c:f>
              <c:numCache>
                <c:formatCode>General</c:formatCode>
                <c:ptCount val="5"/>
                <c:pt idx="2">
                  <c:v>1</c:v>
                </c:pt>
                <c:pt idx="3">
                  <c:v>2</c:v>
                </c:pt>
              </c:numCache>
            </c:numRef>
          </c:val>
          <c:extLst>
            <c:ext xmlns:c16="http://schemas.microsoft.com/office/drawing/2014/chart" uri="{C3380CC4-5D6E-409C-BE32-E72D297353CC}">
              <c16:uniqueId val="{0000013B-C065-4FDE-A413-A0E08540D9EA}"/>
            </c:ext>
          </c:extLst>
        </c:ser>
        <c:ser>
          <c:idx val="24"/>
          <c:order val="24"/>
          <c:tx>
            <c:strRef>
              <c:f>Sheet7!$Z$3:$Z$4</c:f>
              <c:strCache>
                <c:ptCount val="1"/>
                <c:pt idx="0">
                  <c:v>25-Jan</c:v>
                </c:pt>
              </c:strCache>
            </c:strRef>
          </c:tx>
          <c:spPr>
            <a:solidFill>
              <a:schemeClr val="accent1">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Sheet7!$Z$5:$Z$10</c:f>
              <c:numCache>
                <c:formatCode>General</c:formatCode>
                <c:ptCount val="5"/>
                <c:pt idx="2">
                  <c:v>2</c:v>
                </c:pt>
                <c:pt idx="3">
                  <c:v>1</c:v>
                </c:pt>
                <c:pt idx="4">
                  <c:v>1</c:v>
                </c:pt>
              </c:numCache>
            </c:numRef>
          </c:val>
          <c:extLst>
            <c:ext xmlns:c16="http://schemas.microsoft.com/office/drawing/2014/chart" uri="{C3380CC4-5D6E-409C-BE32-E72D297353CC}">
              <c16:uniqueId val="{0000013C-C065-4FDE-A413-A0E08540D9EA}"/>
            </c:ext>
          </c:extLst>
        </c:ser>
        <c:ser>
          <c:idx val="25"/>
          <c:order val="25"/>
          <c:tx>
            <c:strRef>
              <c:f>Sheet7!$AA$3:$AA$4</c:f>
              <c:strCache>
                <c:ptCount val="1"/>
                <c:pt idx="0">
                  <c:v>26-Jan</c:v>
                </c:pt>
              </c:strCache>
            </c:strRef>
          </c:tx>
          <c:spPr>
            <a:solidFill>
              <a:schemeClr val="accent2">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Sheet7!$AA$5:$AA$10</c:f>
              <c:numCache>
                <c:formatCode>General</c:formatCode>
                <c:ptCount val="5"/>
                <c:pt idx="2">
                  <c:v>3</c:v>
                </c:pt>
                <c:pt idx="3">
                  <c:v>1</c:v>
                </c:pt>
                <c:pt idx="4">
                  <c:v>1</c:v>
                </c:pt>
              </c:numCache>
            </c:numRef>
          </c:val>
          <c:extLst>
            <c:ext xmlns:c16="http://schemas.microsoft.com/office/drawing/2014/chart" uri="{C3380CC4-5D6E-409C-BE32-E72D297353CC}">
              <c16:uniqueId val="{0000013D-C065-4FDE-A413-A0E08540D9EA}"/>
            </c:ext>
          </c:extLst>
        </c:ser>
        <c:ser>
          <c:idx val="26"/>
          <c:order val="26"/>
          <c:tx>
            <c:strRef>
              <c:f>Sheet7!$AB$3:$AB$4</c:f>
              <c:strCache>
                <c:ptCount val="1"/>
                <c:pt idx="0">
                  <c:v>27-Jan</c:v>
                </c:pt>
              </c:strCache>
            </c:strRef>
          </c:tx>
          <c:spPr>
            <a:solidFill>
              <a:schemeClr val="accent3">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Sheet7!$AB$5:$AB$10</c:f>
              <c:numCache>
                <c:formatCode>General</c:formatCode>
                <c:ptCount val="5"/>
                <c:pt idx="2">
                  <c:v>1</c:v>
                </c:pt>
                <c:pt idx="3">
                  <c:v>1</c:v>
                </c:pt>
              </c:numCache>
            </c:numRef>
          </c:val>
          <c:extLst>
            <c:ext xmlns:c16="http://schemas.microsoft.com/office/drawing/2014/chart" uri="{C3380CC4-5D6E-409C-BE32-E72D297353CC}">
              <c16:uniqueId val="{0000013E-C065-4FDE-A413-A0E08540D9EA}"/>
            </c:ext>
          </c:extLst>
        </c:ser>
        <c:ser>
          <c:idx val="27"/>
          <c:order val="27"/>
          <c:tx>
            <c:strRef>
              <c:f>Sheet7!$AC$3:$AC$4</c:f>
              <c:strCache>
                <c:ptCount val="1"/>
                <c:pt idx="0">
                  <c:v>28-Jan</c:v>
                </c:pt>
              </c:strCache>
            </c:strRef>
          </c:tx>
          <c:spPr>
            <a:solidFill>
              <a:schemeClr val="accent4">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Sheet7!$AC$5:$AC$10</c:f>
              <c:numCache>
                <c:formatCode>General</c:formatCode>
                <c:ptCount val="5"/>
                <c:pt idx="3">
                  <c:v>2</c:v>
                </c:pt>
                <c:pt idx="4">
                  <c:v>3</c:v>
                </c:pt>
              </c:numCache>
            </c:numRef>
          </c:val>
          <c:extLst>
            <c:ext xmlns:c16="http://schemas.microsoft.com/office/drawing/2014/chart" uri="{C3380CC4-5D6E-409C-BE32-E72D297353CC}">
              <c16:uniqueId val="{0000013F-C065-4FDE-A413-A0E08540D9EA}"/>
            </c:ext>
          </c:extLst>
        </c:ser>
        <c:ser>
          <c:idx val="28"/>
          <c:order val="28"/>
          <c:tx>
            <c:strRef>
              <c:f>Sheet7!$AD$3:$AD$4</c:f>
              <c:strCache>
                <c:ptCount val="1"/>
                <c:pt idx="0">
                  <c:v>29-Jan</c:v>
                </c:pt>
              </c:strCache>
            </c:strRef>
          </c:tx>
          <c:spPr>
            <a:solidFill>
              <a:schemeClr val="accent5">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Sheet7!$AD$5:$AD$10</c:f>
              <c:numCache>
                <c:formatCode>General</c:formatCode>
                <c:ptCount val="5"/>
                <c:pt idx="3">
                  <c:v>3</c:v>
                </c:pt>
                <c:pt idx="4">
                  <c:v>3</c:v>
                </c:pt>
              </c:numCache>
            </c:numRef>
          </c:val>
          <c:extLst>
            <c:ext xmlns:c16="http://schemas.microsoft.com/office/drawing/2014/chart" uri="{C3380CC4-5D6E-409C-BE32-E72D297353CC}">
              <c16:uniqueId val="{00000140-C065-4FDE-A413-A0E08540D9EA}"/>
            </c:ext>
          </c:extLst>
        </c:ser>
        <c:ser>
          <c:idx val="29"/>
          <c:order val="29"/>
          <c:tx>
            <c:strRef>
              <c:f>Sheet7!$AE$3:$AE$4</c:f>
              <c:strCache>
                <c:ptCount val="1"/>
                <c:pt idx="0">
                  <c:v>30-Jan</c:v>
                </c:pt>
              </c:strCache>
            </c:strRef>
          </c:tx>
          <c:spPr>
            <a:solidFill>
              <a:schemeClr val="accent6">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Sheet7!$AE$5:$AE$10</c:f>
              <c:numCache>
                <c:formatCode>General</c:formatCode>
                <c:ptCount val="5"/>
                <c:pt idx="3">
                  <c:v>3</c:v>
                </c:pt>
                <c:pt idx="4">
                  <c:v>1</c:v>
                </c:pt>
              </c:numCache>
            </c:numRef>
          </c:val>
          <c:extLst>
            <c:ext xmlns:c16="http://schemas.microsoft.com/office/drawing/2014/chart" uri="{C3380CC4-5D6E-409C-BE32-E72D297353CC}">
              <c16:uniqueId val="{00000141-C065-4FDE-A413-A0E08540D9EA}"/>
            </c:ext>
          </c:extLst>
        </c:ser>
        <c:ser>
          <c:idx val="30"/>
          <c:order val="30"/>
          <c:tx>
            <c:strRef>
              <c:f>Sheet7!$AF$3:$AF$4</c:f>
              <c:strCache>
                <c:ptCount val="1"/>
                <c:pt idx="0">
                  <c:v>31-Jan</c:v>
                </c:pt>
              </c:strCache>
            </c:strRef>
          </c:tx>
          <c:spPr>
            <a:solidFill>
              <a:schemeClr val="accent1">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Sheet7!$AF$5:$AF$10</c:f>
              <c:numCache>
                <c:formatCode>General</c:formatCode>
                <c:ptCount val="5"/>
                <c:pt idx="4">
                  <c:v>3</c:v>
                </c:pt>
              </c:numCache>
            </c:numRef>
          </c:val>
          <c:extLst>
            <c:ext xmlns:c16="http://schemas.microsoft.com/office/drawing/2014/chart" uri="{C3380CC4-5D6E-409C-BE32-E72D297353CC}">
              <c16:uniqueId val="{00000142-C065-4FDE-A413-A0E08540D9EA}"/>
            </c:ext>
          </c:extLst>
        </c:ser>
        <c:ser>
          <c:idx val="31"/>
          <c:order val="31"/>
          <c:tx>
            <c:strRef>
              <c:f>Sheet7!$AG$3:$AG$4</c:f>
              <c:strCache>
                <c:ptCount val="1"/>
                <c:pt idx="0">
                  <c:v>01-Feb</c:v>
                </c:pt>
              </c:strCache>
            </c:strRef>
          </c:tx>
          <c:spPr>
            <a:solidFill>
              <a:schemeClr val="accent2">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Sheet7!$AG$5:$AG$10</c:f>
              <c:numCache>
                <c:formatCode>General</c:formatCode>
                <c:ptCount val="5"/>
                <c:pt idx="0">
                  <c:v>1</c:v>
                </c:pt>
                <c:pt idx="2">
                  <c:v>1</c:v>
                </c:pt>
                <c:pt idx="3">
                  <c:v>1</c:v>
                </c:pt>
              </c:numCache>
            </c:numRef>
          </c:val>
          <c:extLst>
            <c:ext xmlns:c16="http://schemas.microsoft.com/office/drawing/2014/chart" uri="{C3380CC4-5D6E-409C-BE32-E72D297353CC}">
              <c16:uniqueId val="{00000143-C065-4FDE-A413-A0E08540D9EA}"/>
            </c:ext>
          </c:extLst>
        </c:ser>
        <c:ser>
          <c:idx val="32"/>
          <c:order val="32"/>
          <c:tx>
            <c:strRef>
              <c:f>Sheet7!$AH$3:$AH$4</c:f>
              <c:strCache>
                <c:ptCount val="1"/>
                <c:pt idx="0">
                  <c:v>02-Feb</c:v>
                </c:pt>
              </c:strCache>
            </c:strRef>
          </c:tx>
          <c:spPr>
            <a:solidFill>
              <a:schemeClr val="accent3">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Sheet7!$AH$5:$AH$10</c:f>
              <c:numCache>
                <c:formatCode>General</c:formatCode>
                <c:ptCount val="5"/>
                <c:pt idx="1">
                  <c:v>1</c:v>
                </c:pt>
                <c:pt idx="2">
                  <c:v>5</c:v>
                </c:pt>
                <c:pt idx="3">
                  <c:v>3</c:v>
                </c:pt>
                <c:pt idx="4">
                  <c:v>4</c:v>
                </c:pt>
              </c:numCache>
            </c:numRef>
          </c:val>
          <c:extLst>
            <c:ext xmlns:c16="http://schemas.microsoft.com/office/drawing/2014/chart" uri="{C3380CC4-5D6E-409C-BE32-E72D297353CC}">
              <c16:uniqueId val="{00000144-C065-4FDE-A413-A0E08540D9EA}"/>
            </c:ext>
          </c:extLst>
        </c:ser>
        <c:ser>
          <c:idx val="33"/>
          <c:order val="33"/>
          <c:tx>
            <c:strRef>
              <c:f>Sheet7!$AI$3:$AI$4</c:f>
              <c:strCache>
                <c:ptCount val="1"/>
                <c:pt idx="0">
                  <c:v>03-Feb</c:v>
                </c:pt>
              </c:strCache>
            </c:strRef>
          </c:tx>
          <c:spPr>
            <a:solidFill>
              <a:schemeClr val="accent4">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Sheet7!$AI$5:$AI$10</c:f>
              <c:numCache>
                <c:formatCode>General</c:formatCode>
                <c:ptCount val="5"/>
                <c:pt idx="1">
                  <c:v>1</c:v>
                </c:pt>
                <c:pt idx="2">
                  <c:v>2</c:v>
                </c:pt>
                <c:pt idx="3">
                  <c:v>3</c:v>
                </c:pt>
              </c:numCache>
            </c:numRef>
          </c:val>
          <c:extLst>
            <c:ext xmlns:c16="http://schemas.microsoft.com/office/drawing/2014/chart" uri="{C3380CC4-5D6E-409C-BE32-E72D297353CC}">
              <c16:uniqueId val="{00000145-C065-4FDE-A413-A0E08540D9EA}"/>
            </c:ext>
          </c:extLst>
        </c:ser>
        <c:ser>
          <c:idx val="34"/>
          <c:order val="34"/>
          <c:tx>
            <c:strRef>
              <c:f>Sheet7!$AJ$3:$AJ$4</c:f>
              <c:strCache>
                <c:ptCount val="1"/>
                <c:pt idx="0">
                  <c:v>04-Feb</c:v>
                </c:pt>
              </c:strCache>
            </c:strRef>
          </c:tx>
          <c:spPr>
            <a:solidFill>
              <a:schemeClr val="accent5">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Sheet7!$AJ$5:$AJ$10</c:f>
              <c:numCache>
                <c:formatCode>General</c:formatCode>
                <c:ptCount val="5"/>
                <c:pt idx="2">
                  <c:v>1</c:v>
                </c:pt>
                <c:pt idx="3">
                  <c:v>7</c:v>
                </c:pt>
                <c:pt idx="4">
                  <c:v>6</c:v>
                </c:pt>
              </c:numCache>
            </c:numRef>
          </c:val>
          <c:extLst>
            <c:ext xmlns:c16="http://schemas.microsoft.com/office/drawing/2014/chart" uri="{C3380CC4-5D6E-409C-BE32-E72D297353CC}">
              <c16:uniqueId val="{00000146-C065-4FDE-A413-A0E08540D9EA}"/>
            </c:ext>
          </c:extLst>
        </c:ser>
        <c:ser>
          <c:idx val="35"/>
          <c:order val="35"/>
          <c:tx>
            <c:strRef>
              <c:f>Sheet7!$AK$3:$AK$4</c:f>
              <c:strCache>
                <c:ptCount val="1"/>
                <c:pt idx="0">
                  <c:v>05-Feb</c:v>
                </c:pt>
              </c:strCache>
            </c:strRef>
          </c:tx>
          <c:spPr>
            <a:solidFill>
              <a:schemeClr val="accent6">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Sheet7!$AK$5:$AK$10</c:f>
              <c:numCache>
                <c:formatCode>General</c:formatCode>
                <c:ptCount val="5"/>
                <c:pt idx="2">
                  <c:v>1</c:v>
                </c:pt>
                <c:pt idx="3">
                  <c:v>4</c:v>
                </c:pt>
                <c:pt idx="4">
                  <c:v>2</c:v>
                </c:pt>
              </c:numCache>
            </c:numRef>
          </c:val>
          <c:extLst>
            <c:ext xmlns:c16="http://schemas.microsoft.com/office/drawing/2014/chart" uri="{C3380CC4-5D6E-409C-BE32-E72D297353CC}">
              <c16:uniqueId val="{00000147-C065-4FDE-A413-A0E08540D9EA}"/>
            </c:ext>
          </c:extLst>
        </c:ser>
        <c:ser>
          <c:idx val="36"/>
          <c:order val="36"/>
          <c:tx>
            <c:strRef>
              <c:f>Sheet7!$AL$3:$AL$4</c:f>
              <c:strCache>
                <c:ptCount val="1"/>
                <c:pt idx="0">
                  <c:v>06-Feb</c:v>
                </c:pt>
              </c:strCache>
            </c:strRef>
          </c:tx>
          <c:spPr>
            <a:solidFill>
              <a:schemeClr val="accent1">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Sheet7!$AL$5:$AL$10</c:f>
              <c:numCache>
                <c:formatCode>General</c:formatCode>
                <c:ptCount val="5"/>
                <c:pt idx="2">
                  <c:v>2</c:v>
                </c:pt>
                <c:pt idx="3">
                  <c:v>6</c:v>
                </c:pt>
              </c:numCache>
            </c:numRef>
          </c:val>
          <c:extLst>
            <c:ext xmlns:c16="http://schemas.microsoft.com/office/drawing/2014/chart" uri="{C3380CC4-5D6E-409C-BE32-E72D297353CC}">
              <c16:uniqueId val="{00000148-C065-4FDE-A413-A0E08540D9EA}"/>
            </c:ext>
          </c:extLst>
        </c:ser>
        <c:ser>
          <c:idx val="37"/>
          <c:order val="37"/>
          <c:tx>
            <c:strRef>
              <c:f>Sheet7!$AM$3:$AM$4</c:f>
              <c:strCache>
                <c:ptCount val="1"/>
                <c:pt idx="0">
                  <c:v>07-Feb</c:v>
                </c:pt>
              </c:strCache>
            </c:strRef>
          </c:tx>
          <c:spPr>
            <a:solidFill>
              <a:schemeClr val="accent2">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Sheet7!$AM$5:$AM$10</c:f>
              <c:numCache>
                <c:formatCode>General</c:formatCode>
                <c:ptCount val="5"/>
                <c:pt idx="2">
                  <c:v>3</c:v>
                </c:pt>
                <c:pt idx="3">
                  <c:v>1</c:v>
                </c:pt>
                <c:pt idx="4">
                  <c:v>1</c:v>
                </c:pt>
              </c:numCache>
            </c:numRef>
          </c:val>
          <c:extLst>
            <c:ext xmlns:c16="http://schemas.microsoft.com/office/drawing/2014/chart" uri="{C3380CC4-5D6E-409C-BE32-E72D297353CC}">
              <c16:uniqueId val="{00000149-C065-4FDE-A413-A0E08540D9EA}"/>
            </c:ext>
          </c:extLst>
        </c:ser>
        <c:ser>
          <c:idx val="38"/>
          <c:order val="38"/>
          <c:tx>
            <c:strRef>
              <c:f>Sheet7!$AN$3:$AN$4</c:f>
              <c:strCache>
                <c:ptCount val="1"/>
                <c:pt idx="0">
                  <c:v>08-Feb</c:v>
                </c:pt>
              </c:strCache>
            </c:strRef>
          </c:tx>
          <c:spPr>
            <a:solidFill>
              <a:schemeClr val="accent3">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Sheet7!$AN$5:$AN$10</c:f>
              <c:numCache>
                <c:formatCode>General</c:formatCode>
                <c:ptCount val="5"/>
                <c:pt idx="2">
                  <c:v>1</c:v>
                </c:pt>
                <c:pt idx="3">
                  <c:v>5</c:v>
                </c:pt>
              </c:numCache>
            </c:numRef>
          </c:val>
          <c:extLst>
            <c:ext xmlns:c16="http://schemas.microsoft.com/office/drawing/2014/chart" uri="{C3380CC4-5D6E-409C-BE32-E72D297353CC}">
              <c16:uniqueId val="{0000014A-C065-4FDE-A413-A0E08540D9EA}"/>
            </c:ext>
          </c:extLst>
        </c:ser>
        <c:ser>
          <c:idx val="39"/>
          <c:order val="39"/>
          <c:tx>
            <c:strRef>
              <c:f>Sheet7!$AO$3:$AO$4</c:f>
              <c:strCache>
                <c:ptCount val="1"/>
                <c:pt idx="0">
                  <c:v>09-Feb</c:v>
                </c:pt>
              </c:strCache>
            </c:strRef>
          </c:tx>
          <c:spPr>
            <a:solidFill>
              <a:schemeClr val="accent4">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Sheet7!$AO$5:$AO$10</c:f>
              <c:numCache>
                <c:formatCode>General</c:formatCode>
                <c:ptCount val="5"/>
                <c:pt idx="2">
                  <c:v>1</c:v>
                </c:pt>
                <c:pt idx="3">
                  <c:v>5</c:v>
                </c:pt>
                <c:pt idx="4">
                  <c:v>1</c:v>
                </c:pt>
              </c:numCache>
            </c:numRef>
          </c:val>
          <c:extLst>
            <c:ext xmlns:c16="http://schemas.microsoft.com/office/drawing/2014/chart" uri="{C3380CC4-5D6E-409C-BE32-E72D297353CC}">
              <c16:uniqueId val="{0000014B-C065-4FDE-A413-A0E08540D9EA}"/>
            </c:ext>
          </c:extLst>
        </c:ser>
        <c:ser>
          <c:idx val="40"/>
          <c:order val="40"/>
          <c:tx>
            <c:strRef>
              <c:f>Sheet7!$AP$3:$AP$4</c:f>
              <c:strCache>
                <c:ptCount val="1"/>
                <c:pt idx="0">
                  <c:v>10-Feb</c:v>
                </c:pt>
              </c:strCache>
            </c:strRef>
          </c:tx>
          <c:spPr>
            <a:solidFill>
              <a:schemeClr val="accent5">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Sheet7!$AP$5:$AP$10</c:f>
              <c:numCache>
                <c:formatCode>General</c:formatCode>
                <c:ptCount val="5"/>
                <c:pt idx="2">
                  <c:v>3</c:v>
                </c:pt>
                <c:pt idx="3">
                  <c:v>4</c:v>
                </c:pt>
                <c:pt idx="4">
                  <c:v>2</c:v>
                </c:pt>
              </c:numCache>
            </c:numRef>
          </c:val>
          <c:extLst>
            <c:ext xmlns:c16="http://schemas.microsoft.com/office/drawing/2014/chart" uri="{C3380CC4-5D6E-409C-BE32-E72D297353CC}">
              <c16:uniqueId val="{0000014C-C065-4FDE-A413-A0E08540D9EA}"/>
            </c:ext>
          </c:extLst>
        </c:ser>
        <c:ser>
          <c:idx val="41"/>
          <c:order val="41"/>
          <c:tx>
            <c:strRef>
              <c:f>Sheet7!$AQ$3:$AQ$4</c:f>
              <c:strCache>
                <c:ptCount val="1"/>
                <c:pt idx="0">
                  <c:v>11-Feb</c:v>
                </c:pt>
              </c:strCache>
            </c:strRef>
          </c:tx>
          <c:spPr>
            <a:solidFill>
              <a:schemeClr val="accent6">
                <a:lumMod val="70000"/>
                <a:lumOff val="30000"/>
              </a:schemeClr>
            </a:solidFill>
            <a:ln>
              <a:noFill/>
            </a:ln>
            <a:effectLst/>
          </c:spPr>
          <c:invertIfNegative val="0"/>
          <c:cat>
            <c:strRef>
              <c:f>Sheet7!$A$5:$A$10</c:f>
              <c:strCache>
                <c:ptCount val="5"/>
                <c:pt idx="0">
                  <c:v>1</c:v>
                </c:pt>
                <c:pt idx="1">
                  <c:v>2</c:v>
                </c:pt>
                <c:pt idx="2">
                  <c:v>3</c:v>
                </c:pt>
                <c:pt idx="3">
                  <c:v>4</c:v>
                </c:pt>
                <c:pt idx="4">
                  <c:v>5</c:v>
                </c:pt>
              </c:strCache>
            </c:strRef>
          </c:cat>
          <c:val>
            <c:numRef>
              <c:f>Sheet7!$AQ$5:$AQ$10</c:f>
              <c:numCache>
                <c:formatCode>General</c:formatCode>
                <c:ptCount val="5"/>
                <c:pt idx="2">
                  <c:v>1</c:v>
                </c:pt>
                <c:pt idx="3">
                  <c:v>2</c:v>
                </c:pt>
                <c:pt idx="4">
                  <c:v>1</c:v>
                </c:pt>
              </c:numCache>
            </c:numRef>
          </c:val>
          <c:extLst>
            <c:ext xmlns:c16="http://schemas.microsoft.com/office/drawing/2014/chart" uri="{C3380CC4-5D6E-409C-BE32-E72D297353CC}">
              <c16:uniqueId val="{0000014D-C065-4FDE-A413-A0E08540D9EA}"/>
            </c:ext>
          </c:extLst>
        </c:ser>
        <c:ser>
          <c:idx val="42"/>
          <c:order val="42"/>
          <c:tx>
            <c:strRef>
              <c:f>Sheet7!$AR$3:$AR$4</c:f>
              <c:strCache>
                <c:ptCount val="1"/>
                <c:pt idx="0">
                  <c:v>12-Feb</c:v>
                </c:pt>
              </c:strCache>
            </c:strRef>
          </c:tx>
          <c:spPr>
            <a:solidFill>
              <a:schemeClr val="accent1">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Sheet7!$AR$5:$AR$10</c:f>
              <c:numCache>
                <c:formatCode>General</c:formatCode>
                <c:ptCount val="5"/>
                <c:pt idx="2">
                  <c:v>1</c:v>
                </c:pt>
                <c:pt idx="3">
                  <c:v>5</c:v>
                </c:pt>
                <c:pt idx="4">
                  <c:v>1</c:v>
                </c:pt>
              </c:numCache>
            </c:numRef>
          </c:val>
          <c:extLst>
            <c:ext xmlns:c16="http://schemas.microsoft.com/office/drawing/2014/chart" uri="{C3380CC4-5D6E-409C-BE32-E72D297353CC}">
              <c16:uniqueId val="{0000014E-C065-4FDE-A413-A0E08540D9EA}"/>
            </c:ext>
          </c:extLst>
        </c:ser>
        <c:ser>
          <c:idx val="43"/>
          <c:order val="43"/>
          <c:tx>
            <c:strRef>
              <c:f>Sheet7!$AS$3:$AS$4</c:f>
              <c:strCache>
                <c:ptCount val="1"/>
                <c:pt idx="0">
                  <c:v>13-Feb</c:v>
                </c:pt>
              </c:strCache>
            </c:strRef>
          </c:tx>
          <c:spPr>
            <a:solidFill>
              <a:schemeClr val="accent2">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Sheet7!$AS$5:$AS$10</c:f>
              <c:numCache>
                <c:formatCode>General</c:formatCode>
                <c:ptCount val="5"/>
                <c:pt idx="3">
                  <c:v>7</c:v>
                </c:pt>
                <c:pt idx="4">
                  <c:v>3</c:v>
                </c:pt>
              </c:numCache>
            </c:numRef>
          </c:val>
          <c:extLst>
            <c:ext xmlns:c16="http://schemas.microsoft.com/office/drawing/2014/chart" uri="{C3380CC4-5D6E-409C-BE32-E72D297353CC}">
              <c16:uniqueId val="{0000014F-C065-4FDE-A413-A0E08540D9EA}"/>
            </c:ext>
          </c:extLst>
        </c:ser>
        <c:ser>
          <c:idx val="44"/>
          <c:order val="44"/>
          <c:tx>
            <c:strRef>
              <c:f>Sheet7!$AT$3:$AT$4</c:f>
              <c:strCache>
                <c:ptCount val="1"/>
                <c:pt idx="0">
                  <c:v>14-Feb</c:v>
                </c:pt>
              </c:strCache>
            </c:strRef>
          </c:tx>
          <c:spPr>
            <a:solidFill>
              <a:schemeClr val="accent3">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Sheet7!$AT$5:$AT$10</c:f>
              <c:numCache>
                <c:formatCode>General</c:formatCode>
                <c:ptCount val="5"/>
                <c:pt idx="1">
                  <c:v>1</c:v>
                </c:pt>
                <c:pt idx="3">
                  <c:v>3</c:v>
                </c:pt>
              </c:numCache>
            </c:numRef>
          </c:val>
          <c:extLst>
            <c:ext xmlns:c16="http://schemas.microsoft.com/office/drawing/2014/chart" uri="{C3380CC4-5D6E-409C-BE32-E72D297353CC}">
              <c16:uniqueId val="{00000150-C065-4FDE-A413-A0E08540D9EA}"/>
            </c:ext>
          </c:extLst>
        </c:ser>
        <c:ser>
          <c:idx val="45"/>
          <c:order val="45"/>
          <c:tx>
            <c:strRef>
              <c:f>Sheet7!$AU$3:$AU$4</c:f>
              <c:strCache>
                <c:ptCount val="1"/>
                <c:pt idx="0">
                  <c:v>15-Feb</c:v>
                </c:pt>
              </c:strCache>
            </c:strRef>
          </c:tx>
          <c:spPr>
            <a:solidFill>
              <a:schemeClr val="accent4">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Sheet7!$AU$5:$AU$10</c:f>
              <c:numCache>
                <c:formatCode>General</c:formatCode>
                <c:ptCount val="5"/>
                <c:pt idx="1">
                  <c:v>1</c:v>
                </c:pt>
                <c:pt idx="2">
                  <c:v>1</c:v>
                </c:pt>
                <c:pt idx="3">
                  <c:v>2</c:v>
                </c:pt>
                <c:pt idx="4">
                  <c:v>2</c:v>
                </c:pt>
              </c:numCache>
            </c:numRef>
          </c:val>
          <c:extLst>
            <c:ext xmlns:c16="http://schemas.microsoft.com/office/drawing/2014/chart" uri="{C3380CC4-5D6E-409C-BE32-E72D297353CC}">
              <c16:uniqueId val="{00000151-C065-4FDE-A413-A0E08540D9EA}"/>
            </c:ext>
          </c:extLst>
        </c:ser>
        <c:ser>
          <c:idx val="46"/>
          <c:order val="46"/>
          <c:tx>
            <c:strRef>
              <c:f>Sheet7!$AV$3:$AV$4</c:f>
              <c:strCache>
                <c:ptCount val="1"/>
                <c:pt idx="0">
                  <c:v>16-Feb</c:v>
                </c:pt>
              </c:strCache>
            </c:strRef>
          </c:tx>
          <c:spPr>
            <a:solidFill>
              <a:schemeClr val="accent5">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Sheet7!$AV$5:$AV$10</c:f>
              <c:numCache>
                <c:formatCode>General</c:formatCode>
                <c:ptCount val="5"/>
                <c:pt idx="3">
                  <c:v>2</c:v>
                </c:pt>
              </c:numCache>
            </c:numRef>
          </c:val>
          <c:extLst>
            <c:ext xmlns:c16="http://schemas.microsoft.com/office/drawing/2014/chart" uri="{C3380CC4-5D6E-409C-BE32-E72D297353CC}">
              <c16:uniqueId val="{00000152-C065-4FDE-A413-A0E08540D9EA}"/>
            </c:ext>
          </c:extLst>
        </c:ser>
        <c:ser>
          <c:idx val="47"/>
          <c:order val="47"/>
          <c:tx>
            <c:strRef>
              <c:f>Sheet7!$AW$3:$AW$4</c:f>
              <c:strCache>
                <c:ptCount val="1"/>
                <c:pt idx="0">
                  <c:v>17-Feb</c:v>
                </c:pt>
              </c:strCache>
            </c:strRef>
          </c:tx>
          <c:spPr>
            <a:solidFill>
              <a:schemeClr val="accent6">
                <a:lumMod val="70000"/>
              </a:schemeClr>
            </a:solidFill>
            <a:ln>
              <a:noFill/>
            </a:ln>
            <a:effectLst/>
          </c:spPr>
          <c:invertIfNegative val="0"/>
          <c:cat>
            <c:strRef>
              <c:f>Sheet7!$A$5:$A$10</c:f>
              <c:strCache>
                <c:ptCount val="5"/>
                <c:pt idx="0">
                  <c:v>1</c:v>
                </c:pt>
                <c:pt idx="1">
                  <c:v>2</c:v>
                </c:pt>
                <c:pt idx="2">
                  <c:v>3</c:v>
                </c:pt>
                <c:pt idx="3">
                  <c:v>4</c:v>
                </c:pt>
                <c:pt idx="4">
                  <c:v>5</c:v>
                </c:pt>
              </c:strCache>
            </c:strRef>
          </c:cat>
          <c:val>
            <c:numRef>
              <c:f>Sheet7!$AW$5:$AW$10</c:f>
              <c:numCache>
                <c:formatCode>General</c:formatCode>
                <c:ptCount val="5"/>
                <c:pt idx="2">
                  <c:v>1</c:v>
                </c:pt>
                <c:pt idx="3">
                  <c:v>1</c:v>
                </c:pt>
              </c:numCache>
            </c:numRef>
          </c:val>
          <c:extLst>
            <c:ext xmlns:c16="http://schemas.microsoft.com/office/drawing/2014/chart" uri="{C3380CC4-5D6E-409C-BE32-E72D297353CC}">
              <c16:uniqueId val="{00000153-C065-4FDE-A413-A0E08540D9EA}"/>
            </c:ext>
          </c:extLst>
        </c:ser>
        <c:ser>
          <c:idx val="48"/>
          <c:order val="48"/>
          <c:tx>
            <c:strRef>
              <c:f>Sheet7!$AX$3:$AX$4</c:f>
              <c:strCache>
                <c:ptCount val="1"/>
                <c:pt idx="0">
                  <c:v>18-Feb</c:v>
                </c:pt>
              </c:strCache>
            </c:strRef>
          </c:tx>
          <c:spPr>
            <a:solidFill>
              <a:schemeClr val="accent1">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Sheet7!$AX$5:$AX$10</c:f>
              <c:numCache>
                <c:formatCode>General</c:formatCode>
                <c:ptCount val="5"/>
                <c:pt idx="0">
                  <c:v>1</c:v>
                </c:pt>
                <c:pt idx="1">
                  <c:v>1</c:v>
                </c:pt>
                <c:pt idx="2">
                  <c:v>5</c:v>
                </c:pt>
                <c:pt idx="3">
                  <c:v>4</c:v>
                </c:pt>
                <c:pt idx="4">
                  <c:v>3</c:v>
                </c:pt>
              </c:numCache>
            </c:numRef>
          </c:val>
          <c:extLst>
            <c:ext xmlns:c16="http://schemas.microsoft.com/office/drawing/2014/chart" uri="{C3380CC4-5D6E-409C-BE32-E72D297353CC}">
              <c16:uniqueId val="{00000154-C065-4FDE-A413-A0E08540D9EA}"/>
            </c:ext>
          </c:extLst>
        </c:ser>
        <c:ser>
          <c:idx val="49"/>
          <c:order val="49"/>
          <c:tx>
            <c:strRef>
              <c:f>Sheet7!$AY$3:$AY$4</c:f>
              <c:strCache>
                <c:ptCount val="1"/>
                <c:pt idx="0">
                  <c:v>19-Feb</c:v>
                </c:pt>
              </c:strCache>
            </c:strRef>
          </c:tx>
          <c:spPr>
            <a:solidFill>
              <a:schemeClr val="accent2">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Sheet7!$AY$5:$AY$10</c:f>
              <c:numCache>
                <c:formatCode>General</c:formatCode>
                <c:ptCount val="5"/>
                <c:pt idx="3">
                  <c:v>4</c:v>
                </c:pt>
                <c:pt idx="4">
                  <c:v>1</c:v>
                </c:pt>
              </c:numCache>
            </c:numRef>
          </c:val>
          <c:extLst>
            <c:ext xmlns:c16="http://schemas.microsoft.com/office/drawing/2014/chart" uri="{C3380CC4-5D6E-409C-BE32-E72D297353CC}">
              <c16:uniqueId val="{00000155-C065-4FDE-A413-A0E08540D9EA}"/>
            </c:ext>
          </c:extLst>
        </c:ser>
        <c:ser>
          <c:idx val="50"/>
          <c:order val="50"/>
          <c:tx>
            <c:strRef>
              <c:f>Sheet7!$AZ$3:$AZ$4</c:f>
              <c:strCache>
                <c:ptCount val="1"/>
                <c:pt idx="0">
                  <c:v>20-Feb</c:v>
                </c:pt>
              </c:strCache>
            </c:strRef>
          </c:tx>
          <c:spPr>
            <a:solidFill>
              <a:schemeClr val="accent3">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Sheet7!$AZ$5:$AZ$10</c:f>
              <c:numCache>
                <c:formatCode>General</c:formatCode>
                <c:ptCount val="5"/>
                <c:pt idx="2">
                  <c:v>3</c:v>
                </c:pt>
                <c:pt idx="3">
                  <c:v>2</c:v>
                </c:pt>
                <c:pt idx="4">
                  <c:v>1</c:v>
                </c:pt>
              </c:numCache>
            </c:numRef>
          </c:val>
          <c:extLst>
            <c:ext xmlns:c16="http://schemas.microsoft.com/office/drawing/2014/chart" uri="{C3380CC4-5D6E-409C-BE32-E72D297353CC}">
              <c16:uniqueId val="{00000156-C065-4FDE-A413-A0E08540D9EA}"/>
            </c:ext>
          </c:extLst>
        </c:ser>
        <c:ser>
          <c:idx val="51"/>
          <c:order val="51"/>
          <c:tx>
            <c:strRef>
              <c:f>Sheet7!$BA$3:$BA$4</c:f>
              <c:strCache>
                <c:ptCount val="1"/>
                <c:pt idx="0">
                  <c:v>21-Feb</c:v>
                </c:pt>
              </c:strCache>
            </c:strRef>
          </c:tx>
          <c:spPr>
            <a:solidFill>
              <a:schemeClr val="accent4">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Sheet7!$BA$5:$BA$10</c:f>
              <c:numCache>
                <c:formatCode>General</c:formatCode>
                <c:ptCount val="5"/>
                <c:pt idx="1">
                  <c:v>1</c:v>
                </c:pt>
                <c:pt idx="3">
                  <c:v>1</c:v>
                </c:pt>
                <c:pt idx="4">
                  <c:v>2</c:v>
                </c:pt>
              </c:numCache>
            </c:numRef>
          </c:val>
          <c:extLst>
            <c:ext xmlns:c16="http://schemas.microsoft.com/office/drawing/2014/chart" uri="{C3380CC4-5D6E-409C-BE32-E72D297353CC}">
              <c16:uniqueId val="{00000157-C065-4FDE-A413-A0E08540D9EA}"/>
            </c:ext>
          </c:extLst>
        </c:ser>
        <c:ser>
          <c:idx val="52"/>
          <c:order val="52"/>
          <c:tx>
            <c:strRef>
              <c:f>Sheet7!$BB$3:$BB$4</c:f>
              <c:strCache>
                <c:ptCount val="1"/>
                <c:pt idx="0">
                  <c:v>22-Feb</c:v>
                </c:pt>
              </c:strCache>
            </c:strRef>
          </c:tx>
          <c:spPr>
            <a:solidFill>
              <a:schemeClr val="accent5">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Sheet7!$BB$5:$BB$10</c:f>
              <c:numCache>
                <c:formatCode>General</c:formatCode>
                <c:ptCount val="5"/>
                <c:pt idx="3">
                  <c:v>3</c:v>
                </c:pt>
              </c:numCache>
            </c:numRef>
          </c:val>
          <c:extLst>
            <c:ext xmlns:c16="http://schemas.microsoft.com/office/drawing/2014/chart" uri="{C3380CC4-5D6E-409C-BE32-E72D297353CC}">
              <c16:uniqueId val="{00000158-C065-4FDE-A413-A0E08540D9EA}"/>
            </c:ext>
          </c:extLst>
        </c:ser>
        <c:ser>
          <c:idx val="53"/>
          <c:order val="53"/>
          <c:tx>
            <c:strRef>
              <c:f>Sheet7!$BC$3:$BC$4</c:f>
              <c:strCache>
                <c:ptCount val="1"/>
                <c:pt idx="0">
                  <c:v>23-Feb</c:v>
                </c:pt>
              </c:strCache>
            </c:strRef>
          </c:tx>
          <c:spPr>
            <a:solidFill>
              <a:schemeClr val="accent6">
                <a:lumMod val="50000"/>
                <a:lumOff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Sheet7!$BC$5:$BC$10</c:f>
              <c:numCache>
                <c:formatCode>General</c:formatCode>
                <c:ptCount val="5"/>
                <c:pt idx="2">
                  <c:v>2</c:v>
                </c:pt>
                <c:pt idx="3">
                  <c:v>3</c:v>
                </c:pt>
                <c:pt idx="4">
                  <c:v>1</c:v>
                </c:pt>
              </c:numCache>
            </c:numRef>
          </c:val>
          <c:extLst>
            <c:ext xmlns:c16="http://schemas.microsoft.com/office/drawing/2014/chart" uri="{C3380CC4-5D6E-409C-BE32-E72D297353CC}">
              <c16:uniqueId val="{00000159-C065-4FDE-A413-A0E08540D9EA}"/>
            </c:ext>
          </c:extLst>
        </c:ser>
        <c:ser>
          <c:idx val="54"/>
          <c:order val="54"/>
          <c:tx>
            <c:strRef>
              <c:f>Sheet7!$BD$3:$BD$4</c:f>
              <c:strCache>
                <c:ptCount val="1"/>
                <c:pt idx="0">
                  <c:v>24-Feb</c:v>
                </c:pt>
              </c:strCache>
            </c:strRef>
          </c:tx>
          <c:spPr>
            <a:solidFill>
              <a:schemeClr val="accent1"/>
            </a:solidFill>
            <a:ln>
              <a:noFill/>
            </a:ln>
            <a:effectLst/>
          </c:spPr>
          <c:invertIfNegative val="0"/>
          <c:cat>
            <c:strRef>
              <c:f>Sheet7!$A$5:$A$10</c:f>
              <c:strCache>
                <c:ptCount val="5"/>
                <c:pt idx="0">
                  <c:v>1</c:v>
                </c:pt>
                <c:pt idx="1">
                  <c:v>2</c:v>
                </c:pt>
                <c:pt idx="2">
                  <c:v>3</c:v>
                </c:pt>
                <c:pt idx="3">
                  <c:v>4</c:v>
                </c:pt>
                <c:pt idx="4">
                  <c:v>5</c:v>
                </c:pt>
              </c:strCache>
            </c:strRef>
          </c:cat>
          <c:val>
            <c:numRef>
              <c:f>Sheet7!$BD$5:$BD$10</c:f>
              <c:numCache>
                <c:formatCode>General</c:formatCode>
                <c:ptCount val="5"/>
                <c:pt idx="2">
                  <c:v>2</c:v>
                </c:pt>
                <c:pt idx="3">
                  <c:v>3</c:v>
                </c:pt>
                <c:pt idx="4">
                  <c:v>2</c:v>
                </c:pt>
              </c:numCache>
            </c:numRef>
          </c:val>
          <c:extLst>
            <c:ext xmlns:c16="http://schemas.microsoft.com/office/drawing/2014/chart" uri="{C3380CC4-5D6E-409C-BE32-E72D297353CC}">
              <c16:uniqueId val="{0000015A-C065-4FDE-A413-A0E08540D9EA}"/>
            </c:ext>
          </c:extLst>
        </c:ser>
        <c:ser>
          <c:idx val="55"/>
          <c:order val="55"/>
          <c:tx>
            <c:strRef>
              <c:f>Sheet7!$BE$3:$BE$4</c:f>
              <c:strCache>
                <c:ptCount val="1"/>
                <c:pt idx="0">
                  <c:v>25-Feb</c:v>
                </c:pt>
              </c:strCache>
            </c:strRef>
          </c:tx>
          <c:spPr>
            <a:solidFill>
              <a:schemeClr val="accent2"/>
            </a:solidFill>
            <a:ln>
              <a:noFill/>
            </a:ln>
            <a:effectLst/>
          </c:spPr>
          <c:invertIfNegative val="0"/>
          <c:cat>
            <c:strRef>
              <c:f>Sheet7!$A$5:$A$10</c:f>
              <c:strCache>
                <c:ptCount val="5"/>
                <c:pt idx="0">
                  <c:v>1</c:v>
                </c:pt>
                <c:pt idx="1">
                  <c:v>2</c:v>
                </c:pt>
                <c:pt idx="2">
                  <c:v>3</c:v>
                </c:pt>
                <c:pt idx="3">
                  <c:v>4</c:v>
                </c:pt>
                <c:pt idx="4">
                  <c:v>5</c:v>
                </c:pt>
              </c:strCache>
            </c:strRef>
          </c:cat>
          <c:val>
            <c:numRef>
              <c:f>Sheet7!$BE$5:$BE$10</c:f>
              <c:numCache>
                <c:formatCode>General</c:formatCode>
                <c:ptCount val="5"/>
                <c:pt idx="0">
                  <c:v>1</c:v>
                </c:pt>
                <c:pt idx="1">
                  <c:v>1</c:v>
                </c:pt>
                <c:pt idx="4">
                  <c:v>2</c:v>
                </c:pt>
              </c:numCache>
            </c:numRef>
          </c:val>
          <c:extLst>
            <c:ext xmlns:c16="http://schemas.microsoft.com/office/drawing/2014/chart" uri="{C3380CC4-5D6E-409C-BE32-E72D297353CC}">
              <c16:uniqueId val="{0000015B-C065-4FDE-A413-A0E08540D9EA}"/>
            </c:ext>
          </c:extLst>
        </c:ser>
        <c:ser>
          <c:idx val="56"/>
          <c:order val="56"/>
          <c:tx>
            <c:strRef>
              <c:f>Sheet7!$BF$3:$BF$4</c:f>
              <c:strCache>
                <c:ptCount val="1"/>
                <c:pt idx="0">
                  <c:v>26-Feb</c:v>
                </c:pt>
              </c:strCache>
            </c:strRef>
          </c:tx>
          <c:spPr>
            <a:solidFill>
              <a:schemeClr val="accent3"/>
            </a:solidFill>
            <a:ln>
              <a:noFill/>
            </a:ln>
            <a:effectLst/>
          </c:spPr>
          <c:invertIfNegative val="0"/>
          <c:cat>
            <c:strRef>
              <c:f>Sheet7!$A$5:$A$10</c:f>
              <c:strCache>
                <c:ptCount val="5"/>
                <c:pt idx="0">
                  <c:v>1</c:v>
                </c:pt>
                <c:pt idx="1">
                  <c:v>2</c:v>
                </c:pt>
                <c:pt idx="2">
                  <c:v>3</c:v>
                </c:pt>
                <c:pt idx="3">
                  <c:v>4</c:v>
                </c:pt>
                <c:pt idx="4">
                  <c:v>5</c:v>
                </c:pt>
              </c:strCache>
            </c:strRef>
          </c:cat>
          <c:val>
            <c:numRef>
              <c:f>Sheet7!$BF$5:$BF$10</c:f>
              <c:numCache>
                <c:formatCode>General</c:formatCode>
                <c:ptCount val="5"/>
                <c:pt idx="2">
                  <c:v>2</c:v>
                </c:pt>
                <c:pt idx="3">
                  <c:v>2</c:v>
                </c:pt>
                <c:pt idx="4">
                  <c:v>4</c:v>
                </c:pt>
              </c:numCache>
            </c:numRef>
          </c:val>
          <c:extLst>
            <c:ext xmlns:c16="http://schemas.microsoft.com/office/drawing/2014/chart" uri="{C3380CC4-5D6E-409C-BE32-E72D297353CC}">
              <c16:uniqueId val="{0000015C-C065-4FDE-A413-A0E08540D9EA}"/>
            </c:ext>
          </c:extLst>
        </c:ser>
        <c:ser>
          <c:idx val="57"/>
          <c:order val="57"/>
          <c:tx>
            <c:strRef>
              <c:f>Sheet7!$BG$3:$BG$4</c:f>
              <c:strCache>
                <c:ptCount val="1"/>
                <c:pt idx="0">
                  <c:v>27-Feb</c:v>
                </c:pt>
              </c:strCache>
            </c:strRef>
          </c:tx>
          <c:spPr>
            <a:solidFill>
              <a:schemeClr val="accent4"/>
            </a:solidFill>
            <a:ln>
              <a:noFill/>
            </a:ln>
            <a:effectLst/>
          </c:spPr>
          <c:invertIfNegative val="0"/>
          <c:cat>
            <c:strRef>
              <c:f>Sheet7!$A$5:$A$10</c:f>
              <c:strCache>
                <c:ptCount val="5"/>
                <c:pt idx="0">
                  <c:v>1</c:v>
                </c:pt>
                <c:pt idx="1">
                  <c:v>2</c:v>
                </c:pt>
                <c:pt idx="2">
                  <c:v>3</c:v>
                </c:pt>
                <c:pt idx="3">
                  <c:v>4</c:v>
                </c:pt>
                <c:pt idx="4">
                  <c:v>5</c:v>
                </c:pt>
              </c:strCache>
            </c:strRef>
          </c:cat>
          <c:val>
            <c:numRef>
              <c:f>Sheet7!$BG$5:$BG$10</c:f>
              <c:numCache>
                <c:formatCode>General</c:formatCode>
                <c:ptCount val="5"/>
                <c:pt idx="2">
                  <c:v>1</c:v>
                </c:pt>
                <c:pt idx="3">
                  <c:v>3</c:v>
                </c:pt>
                <c:pt idx="4">
                  <c:v>1</c:v>
                </c:pt>
              </c:numCache>
            </c:numRef>
          </c:val>
          <c:extLst>
            <c:ext xmlns:c16="http://schemas.microsoft.com/office/drawing/2014/chart" uri="{C3380CC4-5D6E-409C-BE32-E72D297353CC}">
              <c16:uniqueId val="{0000015D-C065-4FDE-A413-A0E08540D9EA}"/>
            </c:ext>
          </c:extLst>
        </c:ser>
        <c:ser>
          <c:idx val="58"/>
          <c:order val="58"/>
          <c:tx>
            <c:strRef>
              <c:f>Sheet7!$BH$3:$BH$4</c:f>
              <c:strCache>
                <c:ptCount val="1"/>
                <c:pt idx="0">
                  <c:v>28-Feb</c:v>
                </c:pt>
              </c:strCache>
            </c:strRef>
          </c:tx>
          <c:spPr>
            <a:solidFill>
              <a:schemeClr val="accent5"/>
            </a:solidFill>
            <a:ln>
              <a:noFill/>
            </a:ln>
            <a:effectLst/>
          </c:spPr>
          <c:invertIfNegative val="0"/>
          <c:cat>
            <c:strRef>
              <c:f>Sheet7!$A$5:$A$10</c:f>
              <c:strCache>
                <c:ptCount val="5"/>
                <c:pt idx="0">
                  <c:v>1</c:v>
                </c:pt>
                <c:pt idx="1">
                  <c:v>2</c:v>
                </c:pt>
                <c:pt idx="2">
                  <c:v>3</c:v>
                </c:pt>
                <c:pt idx="3">
                  <c:v>4</c:v>
                </c:pt>
                <c:pt idx="4">
                  <c:v>5</c:v>
                </c:pt>
              </c:strCache>
            </c:strRef>
          </c:cat>
          <c:val>
            <c:numRef>
              <c:f>Sheet7!$BH$5:$BH$10</c:f>
              <c:numCache>
                <c:formatCode>General</c:formatCode>
                <c:ptCount val="5"/>
                <c:pt idx="0">
                  <c:v>1</c:v>
                </c:pt>
                <c:pt idx="2">
                  <c:v>2</c:v>
                </c:pt>
                <c:pt idx="3">
                  <c:v>5</c:v>
                </c:pt>
                <c:pt idx="4">
                  <c:v>1</c:v>
                </c:pt>
              </c:numCache>
            </c:numRef>
          </c:val>
          <c:extLst>
            <c:ext xmlns:c16="http://schemas.microsoft.com/office/drawing/2014/chart" uri="{C3380CC4-5D6E-409C-BE32-E72D297353CC}">
              <c16:uniqueId val="{0000015E-C065-4FDE-A413-A0E08540D9EA}"/>
            </c:ext>
          </c:extLst>
        </c:ser>
        <c:ser>
          <c:idx val="59"/>
          <c:order val="59"/>
          <c:tx>
            <c:strRef>
              <c:f>Sheet7!$BI$3:$BI$4</c:f>
              <c:strCache>
                <c:ptCount val="1"/>
                <c:pt idx="0">
                  <c:v>01-Mar</c:v>
                </c:pt>
              </c:strCache>
            </c:strRef>
          </c:tx>
          <c:spPr>
            <a:solidFill>
              <a:schemeClr val="accent6"/>
            </a:solidFill>
            <a:ln>
              <a:noFill/>
            </a:ln>
            <a:effectLst/>
          </c:spPr>
          <c:invertIfNegative val="0"/>
          <c:cat>
            <c:strRef>
              <c:f>Sheet7!$A$5:$A$10</c:f>
              <c:strCache>
                <c:ptCount val="5"/>
                <c:pt idx="0">
                  <c:v>1</c:v>
                </c:pt>
                <c:pt idx="1">
                  <c:v>2</c:v>
                </c:pt>
                <c:pt idx="2">
                  <c:v>3</c:v>
                </c:pt>
                <c:pt idx="3">
                  <c:v>4</c:v>
                </c:pt>
                <c:pt idx="4">
                  <c:v>5</c:v>
                </c:pt>
              </c:strCache>
            </c:strRef>
          </c:cat>
          <c:val>
            <c:numRef>
              <c:f>Sheet7!$BI$5:$BI$10</c:f>
              <c:numCache>
                <c:formatCode>General</c:formatCode>
                <c:ptCount val="5"/>
                <c:pt idx="3">
                  <c:v>3</c:v>
                </c:pt>
              </c:numCache>
            </c:numRef>
          </c:val>
          <c:extLst>
            <c:ext xmlns:c16="http://schemas.microsoft.com/office/drawing/2014/chart" uri="{C3380CC4-5D6E-409C-BE32-E72D297353CC}">
              <c16:uniqueId val="{0000015F-C065-4FDE-A413-A0E08540D9EA}"/>
            </c:ext>
          </c:extLst>
        </c:ser>
        <c:ser>
          <c:idx val="60"/>
          <c:order val="60"/>
          <c:tx>
            <c:strRef>
              <c:f>Sheet7!$BJ$3:$BJ$4</c:f>
              <c:strCache>
                <c:ptCount val="1"/>
                <c:pt idx="0">
                  <c:v>02-Mar</c:v>
                </c:pt>
              </c:strCache>
            </c:strRef>
          </c:tx>
          <c:spPr>
            <a:solidFill>
              <a:schemeClr val="accent1">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Sheet7!$BJ$5:$BJ$10</c:f>
              <c:numCache>
                <c:formatCode>General</c:formatCode>
                <c:ptCount val="5"/>
                <c:pt idx="2">
                  <c:v>2</c:v>
                </c:pt>
                <c:pt idx="3">
                  <c:v>3</c:v>
                </c:pt>
                <c:pt idx="4">
                  <c:v>1</c:v>
                </c:pt>
              </c:numCache>
            </c:numRef>
          </c:val>
          <c:extLst>
            <c:ext xmlns:c16="http://schemas.microsoft.com/office/drawing/2014/chart" uri="{C3380CC4-5D6E-409C-BE32-E72D297353CC}">
              <c16:uniqueId val="{00000160-C065-4FDE-A413-A0E08540D9EA}"/>
            </c:ext>
          </c:extLst>
        </c:ser>
        <c:ser>
          <c:idx val="61"/>
          <c:order val="61"/>
          <c:tx>
            <c:strRef>
              <c:f>Sheet7!$BK$3:$BK$4</c:f>
              <c:strCache>
                <c:ptCount val="1"/>
                <c:pt idx="0">
                  <c:v>03-Mar</c:v>
                </c:pt>
              </c:strCache>
            </c:strRef>
          </c:tx>
          <c:spPr>
            <a:solidFill>
              <a:schemeClr val="accent2">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Sheet7!$BK$5:$BK$10</c:f>
              <c:numCache>
                <c:formatCode>General</c:formatCode>
                <c:ptCount val="5"/>
                <c:pt idx="1">
                  <c:v>1</c:v>
                </c:pt>
                <c:pt idx="2">
                  <c:v>1</c:v>
                </c:pt>
                <c:pt idx="3">
                  <c:v>3</c:v>
                </c:pt>
                <c:pt idx="4">
                  <c:v>3</c:v>
                </c:pt>
              </c:numCache>
            </c:numRef>
          </c:val>
          <c:extLst>
            <c:ext xmlns:c16="http://schemas.microsoft.com/office/drawing/2014/chart" uri="{C3380CC4-5D6E-409C-BE32-E72D297353CC}">
              <c16:uniqueId val="{00000161-C065-4FDE-A413-A0E08540D9EA}"/>
            </c:ext>
          </c:extLst>
        </c:ser>
        <c:ser>
          <c:idx val="62"/>
          <c:order val="62"/>
          <c:tx>
            <c:strRef>
              <c:f>Sheet7!$BL$3:$BL$4</c:f>
              <c:strCache>
                <c:ptCount val="1"/>
                <c:pt idx="0">
                  <c:v>04-Mar</c:v>
                </c:pt>
              </c:strCache>
            </c:strRef>
          </c:tx>
          <c:spPr>
            <a:solidFill>
              <a:schemeClr val="accent3">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Sheet7!$BL$5:$BL$10</c:f>
              <c:numCache>
                <c:formatCode>General</c:formatCode>
                <c:ptCount val="5"/>
                <c:pt idx="1">
                  <c:v>1</c:v>
                </c:pt>
                <c:pt idx="2">
                  <c:v>5</c:v>
                </c:pt>
                <c:pt idx="3">
                  <c:v>5</c:v>
                </c:pt>
              </c:numCache>
            </c:numRef>
          </c:val>
          <c:extLst>
            <c:ext xmlns:c16="http://schemas.microsoft.com/office/drawing/2014/chart" uri="{C3380CC4-5D6E-409C-BE32-E72D297353CC}">
              <c16:uniqueId val="{00000162-C065-4FDE-A413-A0E08540D9EA}"/>
            </c:ext>
          </c:extLst>
        </c:ser>
        <c:ser>
          <c:idx val="63"/>
          <c:order val="63"/>
          <c:tx>
            <c:strRef>
              <c:f>Sheet7!$BM$3:$BM$4</c:f>
              <c:strCache>
                <c:ptCount val="1"/>
                <c:pt idx="0">
                  <c:v>05-Mar</c:v>
                </c:pt>
              </c:strCache>
            </c:strRef>
          </c:tx>
          <c:spPr>
            <a:solidFill>
              <a:schemeClr val="accent4">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Sheet7!$BM$5:$BM$10</c:f>
              <c:numCache>
                <c:formatCode>General</c:formatCode>
                <c:ptCount val="5"/>
                <c:pt idx="2">
                  <c:v>1</c:v>
                </c:pt>
                <c:pt idx="3">
                  <c:v>2</c:v>
                </c:pt>
                <c:pt idx="4">
                  <c:v>2</c:v>
                </c:pt>
              </c:numCache>
            </c:numRef>
          </c:val>
          <c:extLst>
            <c:ext xmlns:c16="http://schemas.microsoft.com/office/drawing/2014/chart" uri="{C3380CC4-5D6E-409C-BE32-E72D297353CC}">
              <c16:uniqueId val="{00000163-C065-4FDE-A413-A0E08540D9EA}"/>
            </c:ext>
          </c:extLst>
        </c:ser>
        <c:ser>
          <c:idx val="64"/>
          <c:order val="64"/>
          <c:tx>
            <c:strRef>
              <c:f>Sheet7!$BN$3:$BN$4</c:f>
              <c:strCache>
                <c:ptCount val="1"/>
                <c:pt idx="0">
                  <c:v>06-Mar</c:v>
                </c:pt>
              </c:strCache>
            </c:strRef>
          </c:tx>
          <c:spPr>
            <a:solidFill>
              <a:schemeClr val="accent5">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Sheet7!$BN$5:$BN$10</c:f>
              <c:numCache>
                <c:formatCode>General</c:formatCode>
                <c:ptCount val="5"/>
                <c:pt idx="2">
                  <c:v>2</c:v>
                </c:pt>
                <c:pt idx="3">
                  <c:v>2</c:v>
                </c:pt>
                <c:pt idx="4">
                  <c:v>1</c:v>
                </c:pt>
              </c:numCache>
            </c:numRef>
          </c:val>
          <c:extLst>
            <c:ext xmlns:c16="http://schemas.microsoft.com/office/drawing/2014/chart" uri="{C3380CC4-5D6E-409C-BE32-E72D297353CC}">
              <c16:uniqueId val="{00000164-C065-4FDE-A413-A0E08540D9EA}"/>
            </c:ext>
          </c:extLst>
        </c:ser>
        <c:ser>
          <c:idx val="65"/>
          <c:order val="65"/>
          <c:tx>
            <c:strRef>
              <c:f>Sheet7!$BO$3:$BO$4</c:f>
              <c:strCache>
                <c:ptCount val="1"/>
                <c:pt idx="0">
                  <c:v>07-Mar</c:v>
                </c:pt>
              </c:strCache>
            </c:strRef>
          </c:tx>
          <c:spPr>
            <a:solidFill>
              <a:schemeClr val="accent6">
                <a:lumMod val="60000"/>
              </a:schemeClr>
            </a:solidFill>
            <a:ln>
              <a:noFill/>
            </a:ln>
            <a:effectLst/>
          </c:spPr>
          <c:invertIfNegative val="0"/>
          <c:cat>
            <c:strRef>
              <c:f>Sheet7!$A$5:$A$10</c:f>
              <c:strCache>
                <c:ptCount val="5"/>
                <c:pt idx="0">
                  <c:v>1</c:v>
                </c:pt>
                <c:pt idx="1">
                  <c:v>2</c:v>
                </c:pt>
                <c:pt idx="2">
                  <c:v>3</c:v>
                </c:pt>
                <c:pt idx="3">
                  <c:v>4</c:v>
                </c:pt>
                <c:pt idx="4">
                  <c:v>5</c:v>
                </c:pt>
              </c:strCache>
            </c:strRef>
          </c:cat>
          <c:val>
            <c:numRef>
              <c:f>Sheet7!$BO$5:$BO$10</c:f>
              <c:numCache>
                <c:formatCode>General</c:formatCode>
                <c:ptCount val="5"/>
                <c:pt idx="3">
                  <c:v>3</c:v>
                </c:pt>
                <c:pt idx="4">
                  <c:v>1</c:v>
                </c:pt>
              </c:numCache>
            </c:numRef>
          </c:val>
          <c:extLst>
            <c:ext xmlns:c16="http://schemas.microsoft.com/office/drawing/2014/chart" uri="{C3380CC4-5D6E-409C-BE32-E72D297353CC}">
              <c16:uniqueId val="{00000165-C065-4FDE-A413-A0E08540D9EA}"/>
            </c:ext>
          </c:extLst>
        </c:ser>
        <c:ser>
          <c:idx val="66"/>
          <c:order val="66"/>
          <c:tx>
            <c:strRef>
              <c:f>Sheet7!$BP$3:$BP$4</c:f>
              <c:strCache>
                <c:ptCount val="1"/>
                <c:pt idx="0">
                  <c:v>08-Mar</c:v>
                </c:pt>
              </c:strCache>
            </c:strRef>
          </c:tx>
          <c:spPr>
            <a:solidFill>
              <a:schemeClr val="accent1">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Sheet7!$BP$5:$BP$10</c:f>
              <c:numCache>
                <c:formatCode>General</c:formatCode>
                <c:ptCount val="5"/>
                <c:pt idx="0">
                  <c:v>1</c:v>
                </c:pt>
                <c:pt idx="4">
                  <c:v>1</c:v>
                </c:pt>
              </c:numCache>
            </c:numRef>
          </c:val>
          <c:extLst>
            <c:ext xmlns:c16="http://schemas.microsoft.com/office/drawing/2014/chart" uri="{C3380CC4-5D6E-409C-BE32-E72D297353CC}">
              <c16:uniqueId val="{00000166-C065-4FDE-A413-A0E08540D9EA}"/>
            </c:ext>
          </c:extLst>
        </c:ser>
        <c:ser>
          <c:idx val="67"/>
          <c:order val="67"/>
          <c:tx>
            <c:strRef>
              <c:f>Sheet7!$BQ$3:$BQ$4</c:f>
              <c:strCache>
                <c:ptCount val="1"/>
                <c:pt idx="0">
                  <c:v>09-Mar</c:v>
                </c:pt>
              </c:strCache>
            </c:strRef>
          </c:tx>
          <c:spPr>
            <a:solidFill>
              <a:schemeClr val="accent2">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Sheet7!$BQ$5:$BQ$10</c:f>
              <c:numCache>
                <c:formatCode>General</c:formatCode>
                <c:ptCount val="5"/>
                <c:pt idx="1">
                  <c:v>1</c:v>
                </c:pt>
                <c:pt idx="2">
                  <c:v>1</c:v>
                </c:pt>
                <c:pt idx="3">
                  <c:v>2</c:v>
                </c:pt>
                <c:pt idx="4">
                  <c:v>2</c:v>
                </c:pt>
              </c:numCache>
            </c:numRef>
          </c:val>
          <c:extLst>
            <c:ext xmlns:c16="http://schemas.microsoft.com/office/drawing/2014/chart" uri="{C3380CC4-5D6E-409C-BE32-E72D297353CC}">
              <c16:uniqueId val="{00000167-C065-4FDE-A413-A0E08540D9EA}"/>
            </c:ext>
          </c:extLst>
        </c:ser>
        <c:ser>
          <c:idx val="68"/>
          <c:order val="68"/>
          <c:tx>
            <c:strRef>
              <c:f>Sheet7!$BR$3:$BR$4</c:f>
              <c:strCache>
                <c:ptCount val="1"/>
                <c:pt idx="0">
                  <c:v>10-Mar</c:v>
                </c:pt>
              </c:strCache>
            </c:strRef>
          </c:tx>
          <c:spPr>
            <a:solidFill>
              <a:schemeClr val="accent3">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Sheet7!$BR$5:$BR$10</c:f>
              <c:numCache>
                <c:formatCode>General</c:formatCode>
                <c:ptCount val="5"/>
                <c:pt idx="2">
                  <c:v>1</c:v>
                </c:pt>
                <c:pt idx="3">
                  <c:v>4</c:v>
                </c:pt>
                <c:pt idx="4">
                  <c:v>3</c:v>
                </c:pt>
              </c:numCache>
            </c:numRef>
          </c:val>
          <c:extLst>
            <c:ext xmlns:c16="http://schemas.microsoft.com/office/drawing/2014/chart" uri="{C3380CC4-5D6E-409C-BE32-E72D297353CC}">
              <c16:uniqueId val="{00000168-C065-4FDE-A413-A0E08540D9EA}"/>
            </c:ext>
          </c:extLst>
        </c:ser>
        <c:ser>
          <c:idx val="69"/>
          <c:order val="69"/>
          <c:tx>
            <c:strRef>
              <c:f>Sheet7!$BS$3:$BS$4</c:f>
              <c:strCache>
                <c:ptCount val="1"/>
                <c:pt idx="0">
                  <c:v>11-Mar</c:v>
                </c:pt>
              </c:strCache>
            </c:strRef>
          </c:tx>
          <c:spPr>
            <a:solidFill>
              <a:schemeClr val="accent4">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Sheet7!$BS$5:$BS$10</c:f>
              <c:numCache>
                <c:formatCode>General</c:formatCode>
                <c:ptCount val="5"/>
                <c:pt idx="1">
                  <c:v>1</c:v>
                </c:pt>
                <c:pt idx="2">
                  <c:v>1</c:v>
                </c:pt>
                <c:pt idx="3">
                  <c:v>2</c:v>
                </c:pt>
                <c:pt idx="4">
                  <c:v>1</c:v>
                </c:pt>
              </c:numCache>
            </c:numRef>
          </c:val>
          <c:extLst>
            <c:ext xmlns:c16="http://schemas.microsoft.com/office/drawing/2014/chart" uri="{C3380CC4-5D6E-409C-BE32-E72D297353CC}">
              <c16:uniqueId val="{00000169-C065-4FDE-A413-A0E08540D9EA}"/>
            </c:ext>
          </c:extLst>
        </c:ser>
        <c:ser>
          <c:idx val="70"/>
          <c:order val="70"/>
          <c:tx>
            <c:strRef>
              <c:f>Sheet7!$BT$3:$BT$4</c:f>
              <c:strCache>
                <c:ptCount val="1"/>
                <c:pt idx="0">
                  <c:v>12-Mar</c:v>
                </c:pt>
              </c:strCache>
            </c:strRef>
          </c:tx>
          <c:spPr>
            <a:solidFill>
              <a:schemeClr val="accent5">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Sheet7!$BT$5:$BT$10</c:f>
              <c:numCache>
                <c:formatCode>General</c:formatCode>
                <c:ptCount val="5"/>
                <c:pt idx="2">
                  <c:v>2</c:v>
                </c:pt>
                <c:pt idx="3">
                  <c:v>3</c:v>
                </c:pt>
                <c:pt idx="4">
                  <c:v>1</c:v>
                </c:pt>
              </c:numCache>
            </c:numRef>
          </c:val>
          <c:extLst>
            <c:ext xmlns:c16="http://schemas.microsoft.com/office/drawing/2014/chart" uri="{C3380CC4-5D6E-409C-BE32-E72D297353CC}">
              <c16:uniqueId val="{0000016A-C065-4FDE-A413-A0E08540D9EA}"/>
            </c:ext>
          </c:extLst>
        </c:ser>
        <c:ser>
          <c:idx val="71"/>
          <c:order val="71"/>
          <c:tx>
            <c:strRef>
              <c:f>Sheet7!$BU$3:$BU$4</c:f>
              <c:strCache>
                <c:ptCount val="1"/>
                <c:pt idx="0">
                  <c:v>13-Mar</c:v>
                </c:pt>
              </c:strCache>
            </c:strRef>
          </c:tx>
          <c:spPr>
            <a:solidFill>
              <a:schemeClr val="accent6">
                <a:lumMod val="80000"/>
                <a:lumOff val="20000"/>
              </a:schemeClr>
            </a:solidFill>
            <a:ln>
              <a:noFill/>
            </a:ln>
            <a:effectLst/>
          </c:spPr>
          <c:invertIfNegative val="0"/>
          <c:cat>
            <c:strRef>
              <c:f>Sheet7!$A$5:$A$10</c:f>
              <c:strCache>
                <c:ptCount val="5"/>
                <c:pt idx="0">
                  <c:v>1</c:v>
                </c:pt>
                <c:pt idx="1">
                  <c:v>2</c:v>
                </c:pt>
                <c:pt idx="2">
                  <c:v>3</c:v>
                </c:pt>
                <c:pt idx="3">
                  <c:v>4</c:v>
                </c:pt>
                <c:pt idx="4">
                  <c:v>5</c:v>
                </c:pt>
              </c:strCache>
            </c:strRef>
          </c:cat>
          <c:val>
            <c:numRef>
              <c:f>Sheet7!$BU$5:$BU$10</c:f>
              <c:numCache>
                <c:formatCode>General</c:formatCode>
                <c:ptCount val="5"/>
                <c:pt idx="2">
                  <c:v>1</c:v>
                </c:pt>
              </c:numCache>
            </c:numRef>
          </c:val>
          <c:extLst>
            <c:ext xmlns:c16="http://schemas.microsoft.com/office/drawing/2014/chart" uri="{C3380CC4-5D6E-409C-BE32-E72D297353CC}">
              <c16:uniqueId val="{0000016B-C065-4FDE-A413-A0E08540D9EA}"/>
            </c:ext>
          </c:extLst>
        </c:ser>
        <c:ser>
          <c:idx val="72"/>
          <c:order val="72"/>
          <c:tx>
            <c:strRef>
              <c:f>Sheet7!$BV$3:$BV$4</c:f>
              <c:strCache>
                <c:ptCount val="1"/>
                <c:pt idx="0">
                  <c:v>14-Mar</c:v>
                </c:pt>
              </c:strCache>
            </c:strRef>
          </c:tx>
          <c:spPr>
            <a:solidFill>
              <a:schemeClr val="accent1">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Sheet7!$BV$5:$BV$10</c:f>
              <c:numCache>
                <c:formatCode>General</c:formatCode>
                <c:ptCount val="5"/>
                <c:pt idx="1">
                  <c:v>1</c:v>
                </c:pt>
                <c:pt idx="4">
                  <c:v>2</c:v>
                </c:pt>
              </c:numCache>
            </c:numRef>
          </c:val>
          <c:extLst>
            <c:ext xmlns:c16="http://schemas.microsoft.com/office/drawing/2014/chart" uri="{C3380CC4-5D6E-409C-BE32-E72D297353CC}">
              <c16:uniqueId val="{0000016C-C065-4FDE-A413-A0E08540D9EA}"/>
            </c:ext>
          </c:extLst>
        </c:ser>
        <c:ser>
          <c:idx val="73"/>
          <c:order val="73"/>
          <c:tx>
            <c:strRef>
              <c:f>Sheet7!$BW$3:$BW$4</c:f>
              <c:strCache>
                <c:ptCount val="1"/>
                <c:pt idx="0">
                  <c:v>15-Mar</c:v>
                </c:pt>
              </c:strCache>
            </c:strRef>
          </c:tx>
          <c:spPr>
            <a:solidFill>
              <a:schemeClr val="accent2">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Sheet7!$BW$5:$BW$10</c:f>
              <c:numCache>
                <c:formatCode>General</c:formatCode>
                <c:ptCount val="5"/>
                <c:pt idx="2">
                  <c:v>1</c:v>
                </c:pt>
                <c:pt idx="4">
                  <c:v>2</c:v>
                </c:pt>
              </c:numCache>
            </c:numRef>
          </c:val>
          <c:extLst>
            <c:ext xmlns:c16="http://schemas.microsoft.com/office/drawing/2014/chart" uri="{C3380CC4-5D6E-409C-BE32-E72D297353CC}">
              <c16:uniqueId val="{0000016D-C065-4FDE-A413-A0E08540D9EA}"/>
            </c:ext>
          </c:extLst>
        </c:ser>
        <c:ser>
          <c:idx val="74"/>
          <c:order val="74"/>
          <c:tx>
            <c:strRef>
              <c:f>Sheet7!$BX$3:$BX$4</c:f>
              <c:strCache>
                <c:ptCount val="1"/>
                <c:pt idx="0">
                  <c:v>16-Mar</c:v>
                </c:pt>
              </c:strCache>
            </c:strRef>
          </c:tx>
          <c:spPr>
            <a:solidFill>
              <a:schemeClr val="accent3">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Sheet7!$BX$5:$BX$10</c:f>
              <c:numCache>
                <c:formatCode>General</c:formatCode>
                <c:ptCount val="5"/>
                <c:pt idx="2">
                  <c:v>2</c:v>
                </c:pt>
                <c:pt idx="3">
                  <c:v>1</c:v>
                </c:pt>
                <c:pt idx="4">
                  <c:v>2</c:v>
                </c:pt>
              </c:numCache>
            </c:numRef>
          </c:val>
          <c:extLst>
            <c:ext xmlns:c16="http://schemas.microsoft.com/office/drawing/2014/chart" uri="{C3380CC4-5D6E-409C-BE32-E72D297353CC}">
              <c16:uniqueId val="{0000016E-C065-4FDE-A413-A0E08540D9EA}"/>
            </c:ext>
          </c:extLst>
        </c:ser>
        <c:ser>
          <c:idx val="75"/>
          <c:order val="75"/>
          <c:tx>
            <c:strRef>
              <c:f>Sheet7!$BY$3:$BY$4</c:f>
              <c:strCache>
                <c:ptCount val="1"/>
                <c:pt idx="0">
                  <c:v>17-Mar</c:v>
                </c:pt>
              </c:strCache>
            </c:strRef>
          </c:tx>
          <c:spPr>
            <a:solidFill>
              <a:schemeClr val="accent4">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Sheet7!$BY$5:$BY$10</c:f>
              <c:numCache>
                <c:formatCode>General</c:formatCode>
                <c:ptCount val="5"/>
                <c:pt idx="2">
                  <c:v>1</c:v>
                </c:pt>
                <c:pt idx="3">
                  <c:v>3</c:v>
                </c:pt>
                <c:pt idx="4">
                  <c:v>1</c:v>
                </c:pt>
              </c:numCache>
            </c:numRef>
          </c:val>
          <c:extLst>
            <c:ext xmlns:c16="http://schemas.microsoft.com/office/drawing/2014/chart" uri="{C3380CC4-5D6E-409C-BE32-E72D297353CC}">
              <c16:uniqueId val="{0000016F-C065-4FDE-A413-A0E08540D9EA}"/>
            </c:ext>
          </c:extLst>
        </c:ser>
        <c:ser>
          <c:idx val="76"/>
          <c:order val="76"/>
          <c:tx>
            <c:strRef>
              <c:f>Sheet7!$BZ$3:$BZ$4</c:f>
              <c:strCache>
                <c:ptCount val="1"/>
                <c:pt idx="0">
                  <c:v>18-Mar</c:v>
                </c:pt>
              </c:strCache>
            </c:strRef>
          </c:tx>
          <c:spPr>
            <a:solidFill>
              <a:schemeClr val="accent5">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Sheet7!$BZ$5:$BZ$10</c:f>
              <c:numCache>
                <c:formatCode>General</c:formatCode>
                <c:ptCount val="5"/>
                <c:pt idx="3">
                  <c:v>2</c:v>
                </c:pt>
                <c:pt idx="4">
                  <c:v>1</c:v>
                </c:pt>
              </c:numCache>
            </c:numRef>
          </c:val>
          <c:extLst>
            <c:ext xmlns:c16="http://schemas.microsoft.com/office/drawing/2014/chart" uri="{C3380CC4-5D6E-409C-BE32-E72D297353CC}">
              <c16:uniqueId val="{00000170-C065-4FDE-A413-A0E08540D9EA}"/>
            </c:ext>
          </c:extLst>
        </c:ser>
        <c:ser>
          <c:idx val="77"/>
          <c:order val="77"/>
          <c:tx>
            <c:strRef>
              <c:f>Sheet7!$CA$3:$CA$4</c:f>
              <c:strCache>
                <c:ptCount val="1"/>
                <c:pt idx="0">
                  <c:v>19-Mar</c:v>
                </c:pt>
              </c:strCache>
            </c:strRef>
          </c:tx>
          <c:spPr>
            <a:solidFill>
              <a:schemeClr val="accent6">
                <a:lumMod val="80000"/>
              </a:schemeClr>
            </a:solidFill>
            <a:ln>
              <a:noFill/>
            </a:ln>
            <a:effectLst/>
          </c:spPr>
          <c:invertIfNegative val="0"/>
          <c:cat>
            <c:strRef>
              <c:f>Sheet7!$A$5:$A$10</c:f>
              <c:strCache>
                <c:ptCount val="5"/>
                <c:pt idx="0">
                  <c:v>1</c:v>
                </c:pt>
                <c:pt idx="1">
                  <c:v>2</c:v>
                </c:pt>
                <c:pt idx="2">
                  <c:v>3</c:v>
                </c:pt>
                <c:pt idx="3">
                  <c:v>4</c:v>
                </c:pt>
                <c:pt idx="4">
                  <c:v>5</c:v>
                </c:pt>
              </c:strCache>
            </c:strRef>
          </c:cat>
          <c:val>
            <c:numRef>
              <c:f>Sheet7!$CA$5:$CA$10</c:f>
              <c:numCache>
                <c:formatCode>General</c:formatCode>
                <c:ptCount val="5"/>
                <c:pt idx="3">
                  <c:v>7</c:v>
                </c:pt>
                <c:pt idx="4">
                  <c:v>3</c:v>
                </c:pt>
              </c:numCache>
            </c:numRef>
          </c:val>
          <c:extLst>
            <c:ext xmlns:c16="http://schemas.microsoft.com/office/drawing/2014/chart" uri="{C3380CC4-5D6E-409C-BE32-E72D297353CC}">
              <c16:uniqueId val="{00000171-C065-4FDE-A413-A0E08540D9EA}"/>
            </c:ext>
          </c:extLst>
        </c:ser>
        <c:ser>
          <c:idx val="78"/>
          <c:order val="78"/>
          <c:tx>
            <c:strRef>
              <c:f>Sheet7!$CB$3:$CB$4</c:f>
              <c:strCache>
                <c:ptCount val="1"/>
                <c:pt idx="0">
                  <c:v>20-Mar</c:v>
                </c:pt>
              </c:strCache>
            </c:strRef>
          </c:tx>
          <c:spPr>
            <a:solidFill>
              <a:schemeClr val="accent1">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Sheet7!$CB$5:$CB$10</c:f>
              <c:numCache>
                <c:formatCode>General</c:formatCode>
                <c:ptCount val="5"/>
                <c:pt idx="3">
                  <c:v>3</c:v>
                </c:pt>
                <c:pt idx="4">
                  <c:v>1</c:v>
                </c:pt>
              </c:numCache>
            </c:numRef>
          </c:val>
          <c:extLst>
            <c:ext xmlns:c16="http://schemas.microsoft.com/office/drawing/2014/chart" uri="{C3380CC4-5D6E-409C-BE32-E72D297353CC}">
              <c16:uniqueId val="{00000172-C065-4FDE-A413-A0E08540D9EA}"/>
            </c:ext>
          </c:extLst>
        </c:ser>
        <c:ser>
          <c:idx val="79"/>
          <c:order val="79"/>
          <c:tx>
            <c:strRef>
              <c:f>Sheet7!$CC$3:$CC$4</c:f>
              <c:strCache>
                <c:ptCount val="1"/>
                <c:pt idx="0">
                  <c:v>22-Mar</c:v>
                </c:pt>
              </c:strCache>
            </c:strRef>
          </c:tx>
          <c:spPr>
            <a:solidFill>
              <a:schemeClr val="accent2">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Sheet7!$CC$5:$CC$10</c:f>
              <c:numCache>
                <c:formatCode>General</c:formatCode>
                <c:ptCount val="5"/>
                <c:pt idx="1">
                  <c:v>1</c:v>
                </c:pt>
                <c:pt idx="2">
                  <c:v>3</c:v>
                </c:pt>
                <c:pt idx="3">
                  <c:v>2</c:v>
                </c:pt>
              </c:numCache>
            </c:numRef>
          </c:val>
          <c:extLst>
            <c:ext xmlns:c16="http://schemas.microsoft.com/office/drawing/2014/chart" uri="{C3380CC4-5D6E-409C-BE32-E72D297353CC}">
              <c16:uniqueId val="{00000173-C065-4FDE-A413-A0E08540D9EA}"/>
            </c:ext>
          </c:extLst>
        </c:ser>
        <c:ser>
          <c:idx val="80"/>
          <c:order val="80"/>
          <c:tx>
            <c:strRef>
              <c:f>Sheet7!$CD$3:$CD$4</c:f>
              <c:strCache>
                <c:ptCount val="1"/>
                <c:pt idx="0">
                  <c:v>23-Mar</c:v>
                </c:pt>
              </c:strCache>
            </c:strRef>
          </c:tx>
          <c:spPr>
            <a:solidFill>
              <a:schemeClr val="accent3">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Sheet7!$CD$5:$CD$10</c:f>
              <c:numCache>
                <c:formatCode>General</c:formatCode>
                <c:ptCount val="5"/>
                <c:pt idx="3">
                  <c:v>5</c:v>
                </c:pt>
                <c:pt idx="4">
                  <c:v>2</c:v>
                </c:pt>
              </c:numCache>
            </c:numRef>
          </c:val>
          <c:extLst>
            <c:ext xmlns:c16="http://schemas.microsoft.com/office/drawing/2014/chart" uri="{C3380CC4-5D6E-409C-BE32-E72D297353CC}">
              <c16:uniqueId val="{00000174-C065-4FDE-A413-A0E08540D9EA}"/>
            </c:ext>
          </c:extLst>
        </c:ser>
        <c:ser>
          <c:idx val="81"/>
          <c:order val="81"/>
          <c:tx>
            <c:strRef>
              <c:f>Sheet7!$CE$3:$CE$4</c:f>
              <c:strCache>
                <c:ptCount val="1"/>
                <c:pt idx="0">
                  <c:v>24-Mar</c:v>
                </c:pt>
              </c:strCache>
            </c:strRef>
          </c:tx>
          <c:spPr>
            <a:solidFill>
              <a:schemeClr val="accent4">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Sheet7!$CE$5:$CE$10</c:f>
              <c:numCache>
                <c:formatCode>General</c:formatCode>
                <c:ptCount val="5"/>
                <c:pt idx="3">
                  <c:v>3</c:v>
                </c:pt>
                <c:pt idx="4">
                  <c:v>5</c:v>
                </c:pt>
              </c:numCache>
            </c:numRef>
          </c:val>
          <c:extLst>
            <c:ext xmlns:c16="http://schemas.microsoft.com/office/drawing/2014/chart" uri="{C3380CC4-5D6E-409C-BE32-E72D297353CC}">
              <c16:uniqueId val="{00000175-C065-4FDE-A413-A0E08540D9EA}"/>
            </c:ext>
          </c:extLst>
        </c:ser>
        <c:ser>
          <c:idx val="82"/>
          <c:order val="82"/>
          <c:tx>
            <c:strRef>
              <c:f>Sheet7!$CF$3:$CF$4</c:f>
              <c:strCache>
                <c:ptCount val="1"/>
                <c:pt idx="0">
                  <c:v>25-Mar</c:v>
                </c:pt>
              </c:strCache>
            </c:strRef>
          </c:tx>
          <c:spPr>
            <a:solidFill>
              <a:schemeClr val="accent5">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Sheet7!$CF$5:$CF$10</c:f>
              <c:numCache>
                <c:formatCode>General</c:formatCode>
                <c:ptCount val="5"/>
                <c:pt idx="2">
                  <c:v>1</c:v>
                </c:pt>
                <c:pt idx="3">
                  <c:v>2</c:v>
                </c:pt>
                <c:pt idx="4">
                  <c:v>1</c:v>
                </c:pt>
              </c:numCache>
            </c:numRef>
          </c:val>
          <c:extLst>
            <c:ext xmlns:c16="http://schemas.microsoft.com/office/drawing/2014/chart" uri="{C3380CC4-5D6E-409C-BE32-E72D297353CC}">
              <c16:uniqueId val="{00000176-C065-4FDE-A413-A0E08540D9EA}"/>
            </c:ext>
          </c:extLst>
        </c:ser>
        <c:ser>
          <c:idx val="83"/>
          <c:order val="83"/>
          <c:tx>
            <c:strRef>
              <c:f>Sheet7!$CG$3:$CG$4</c:f>
              <c:strCache>
                <c:ptCount val="1"/>
                <c:pt idx="0">
                  <c:v>26-Mar</c:v>
                </c:pt>
              </c:strCache>
            </c:strRef>
          </c:tx>
          <c:spPr>
            <a:solidFill>
              <a:schemeClr val="accent6">
                <a:lumMod val="60000"/>
                <a:lumOff val="40000"/>
              </a:schemeClr>
            </a:solidFill>
            <a:ln>
              <a:noFill/>
            </a:ln>
            <a:effectLst/>
          </c:spPr>
          <c:invertIfNegative val="0"/>
          <c:cat>
            <c:strRef>
              <c:f>Sheet7!$A$5:$A$10</c:f>
              <c:strCache>
                <c:ptCount val="5"/>
                <c:pt idx="0">
                  <c:v>1</c:v>
                </c:pt>
                <c:pt idx="1">
                  <c:v>2</c:v>
                </c:pt>
                <c:pt idx="2">
                  <c:v>3</c:v>
                </c:pt>
                <c:pt idx="3">
                  <c:v>4</c:v>
                </c:pt>
                <c:pt idx="4">
                  <c:v>5</c:v>
                </c:pt>
              </c:strCache>
            </c:strRef>
          </c:cat>
          <c:val>
            <c:numRef>
              <c:f>Sheet7!$CG$5:$CG$10</c:f>
              <c:numCache>
                <c:formatCode>General</c:formatCode>
                <c:ptCount val="5"/>
                <c:pt idx="2">
                  <c:v>1</c:v>
                </c:pt>
                <c:pt idx="3">
                  <c:v>3</c:v>
                </c:pt>
                <c:pt idx="4">
                  <c:v>2</c:v>
                </c:pt>
              </c:numCache>
            </c:numRef>
          </c:val>
          <c:extLst>
            <c:ext xmlns:c16="http://schemas.microsoft.com/office/drawing/2014/chart" uri="{C3380CC4-5D6E-409C-BE32-E72D297353CC}">
              <c16:uniqueId val="{00000177-C065-4FDE-A413-A0E08540D9EA}"/>
            </c:ext>
          </c:extLst>
        </c:ser>
        <c:ser>
          <c:idx val="84"/>
          <c:order val="84"/>
          <c:tx>
            <c:strRef>
              <c:f>Sheet7!$CH$3:$CH$4</c:f>
              <c:strCache>
                <c:ptCount val="1"/>
                <c:pt idx="0">
                  <c:v>27-Mar</c:v>
                </c:pt>
              </c:strCache>
            </c:strRef>
          </c:tx>
          <c:spPr>
            <a:solidFill>
              <a:schemeClr val="accent1">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Sheet7!$CH$5:$CH$10</c:f>
              <c:numCache>
                <c:formatCode>General</c:formatCode>
                <c:ptCount val="5"/>
                <c:pt idx="2">
                  <c:v>1</c:v>
                </c:pt>
                <c:pt idx="3">
                  <c:v>1</c:v>
                </c:pt>
                <c:pt idx="4">
                  <c:v>1</c:v>
                </c:pt>
              </c:numCache>
            </c:numRef>
          </c:val>
          <c:extLst>
            <c:ext xmlns:c16="http://schemas.microsoft.com/office/drawing/2014/chart" uri="{C3380CC4-5D6E-409C-BE32-E72D297353CC}">
              <c16:uniqueId val="{00000178-C065-4FDE-A413-A0E08540D9EA}"/>
            </c:ext>
          </c:extLst>
        </c:ser>
        <c:ser>
          <c:idx val="85"/>
          <c:order val="85"/>
          <c:tx>
            <c:strRef>
              <c:f>Sheet7!$CI$3:$CI$4</c:f>
              <c:strCache>
                <c:ptCount val="1"/>
                <c:pt idx="0">
                  <c:v>28-Mar</c:v>
                </c:pt>
              </c:strCache>
            </c:strRef>
          </c:tx>
          <c:spPr>
            <a:solidFill>
              <a:schemeClr val="accent2">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Sheet7!$CI$5:$CI$10</c:f>
              <c:numCache>
                <c:formatCode>General</c:formatCode>
                <c:ptCount val="5"/>
                <c:pt idx="4">
                  <c:v>1</c:v>
                </c:pt>
              </c:numCache>
            </c:numRef>
          </c:val>
          <c:extLst>
            <c:ext xmlns:c16="http://schemas.microsoft.com/office/drawing/2014/chart" uri="{C3380CC4-5D6E-409C-BE32-E72D297353CC}">
              <c16:uniqueId val="{00000179-C065-4FDE-A413-A0E08540D9EA}"/>
            </c:ext>
          </c:extLst>
        </c:ser>
        <c:ser>
          <c:idx val="86"/>
          <c:order val="86"/>
          <c:tx>
            <c:strRef>
              <c:f>Sheet7!$CJ$3:$CJ$4</c:f>
              <c:strCache>
                <c:ptCount val="1"/>
                <c:pt idx="0">
                  <c:v>29-Mar</c:v>
                </c:pt>
              </c:strCache>
            </c:strRef>
          </c:tx>
          <c:spPr>
            <a:solidFill>
              <a:schemeClr val="accent3">
                <a:lumMod val="50000"/>
              </a:schemeClr>
            </a:solidFill>
            <a:ln>
              <a:noFill/>
            </a:ln>
            <a:effectLst/>
          </c:spPr>
          <c:invertIfNegative val="0"/>
          <c:cat>
            <c:strRef>
              <c:f>Sheet7!$A$5:$A$10</c:f>
              <c:strCache>
                <c:ptCount val="5"/>
                <c:pt idx="0">
                  <c:v>1</c:v>
                </c:pt>
                <c:pt idx="1">
                  <c:v>2</c:v>
                </c:pt>
                <c:pt idx="2">
                  <c:v>3</c:v>
                </c:pt>
                <c:pt idx="3">
                  <c:v>4</c:v>
                </c:pt>
                <c:pt idx="4">
                  <c:v>5</c:v>
                </c:pt>
              </c:strCache>
            </c:strRef>
          </c:cat>
          <c:val>
            <c:numRef>
              <c:f>Sheet7!$CJ$5:$CJ$10</c:f>
              <c:numCache>
                <c:formatCode>General</c:formatCode>
                <c:ptCount val="5"/>
                <c:pt idx="3">
                  <c:v>1</c:v>
                </c:pt>
                <c:pt idx="4">
                  <c:v>2</c:v>
                </c:pt>
              </c:numCache>
            </c:numRef>
          </c:val>
          <c:extLst>
            <c:ext xmlns:c16="http://schemas.microsoft.com/office/drawing/2014/chart" uri="{C3380CC4-5D6E-409C-BE32-E72D297353CC}">
              <c16:uniqueId val="{0000017A-C065-4FDE-A413-A0E08540D9EA}"/>
            </c:ext>
          </c:extLst>
        </c:ser>
        <c:dLbls>
          <c:showLegendKey val="0"/>
          <c:showVal val="0"/>
          <c:showCatName val="0"/>
          <c:showSerName val="0"/>
          <c:showPercent val="0"/>
          <c:showBubbleSize val="0"/>
        </c:dLbls>
        <c:gapWidth val="219"/>
        <c:overlap val="-27"/>
        <c:axId val="904310784"/>
        <c:axId val="904318464"/>
      </c:barChart>
      <c:catAx>
        <c:axId val="90431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18464"/>
        <c:crosses val="autoZero"/>
        <c:auto val="1"/>
        <c:lblAlgn val="ctr"/>
        <c:lblOffset val="100"/>
        <c:noMultiLvlLbl val="0"/>
      </c:catAx>
      <c:valAx>
        <c:axId val="90431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1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23</xdr:col>
      <xdr:colOff>174170</xdr:colOff>
      <xdr:row>43</xdr:row>
      <xdr:rowOff>22860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22860"/>
          <a:ext cx="13966370" cy="7957457"/>
        </a:xfrm>
        <a:prstGeom prst="rect">
          <a:avLst/>
        </a:prstGeom>
        <a:solidFill>
          <a:schemeClr val="accent4">
            <a:lumMod val="40000"/>
            <a:lumOff val="6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4">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1</xdr:row>
      <xdr:rowOff>114300</xdr:rowOff>
    </xdr:from>
    <xdr:to>
      <xdr:col>2</xdr:col>
      <xdr:colOff>99060</xdr:colOff>
      <xdr:row>7</xdr:row>
      <xdr:rowOff>76200</xdr:rowOff>
    </xdr:to>
    <xdr:sp macro="" textlink="Sheet1!H4">
      <xdr:nvSpPr>
        <xdr:cNvPr id="7" name="TextBox 6">
          <a:extLst>
            <a:ext uri="{FF2B5EF4-FFF2-40B4-BE49-F238E27FC236}">
              <a16:creationId xmlns:a16="http://schemas.microsoft.com/office/drawing/2014/main" id="{704D45B3-E877-273B-2B19-244A619AEB72}"/>
            </a:ext>
          </a:extLst>
        </xdr:cNvPr>
        <xdr:cNvSpPr txBox="1"/>
      </xdr:nvSpPr>
      <xdr:spPr>
        <a:xfrm>
          <a:off x="68580" y="297180"/>
          <a:ext cx="1783080" cy="1059180"/>
        </a:xfrm>
        <a:prstGeom prst="rect">
          <a:avLst/>
        </a:prstGeom>
        <a:solidFill>
          <a:schemeClr val="accent4">
            <a:lumMod val="50000"/>
          </a:schemeClr>
        </a:solidFill>
        <a:ln w="9525"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B571D6-5DE7-4481-85E4-B75503A41F94}" type="TxLink">
            <a:rPr lang="en-US" sz="1800" b="1" i="0" u="none" strike="noStrike">
              <a:ln>
                <a:solidFill>
                  <a:schemeClr val="bg1"/>
                </a:solidFill>
              </a:ln>
              <a:solidFill>
                <a:schemeClr val="bg1"/>
              </a:solidFill>
              <a:latin typeface="Aptos Narrow"/>
            </a:rPr>
            <a:t>456</a:t>
          </a:fld>
          <a:endParaRPr lang="en-IN" sz="1800" b="1">
            <a:ln>
              <a:solidFill>
                <a:schemeClr val="bg1"/>
              </a:solidFill>
            </a:ln>
            <a:solidFill>
              <a:schemeClr val="bg1"/>
            </a:solidFill>
          </a:endParaRPr>
        </a:p>
      </xdr:txBody>
    </xdr:sp>
    <xdr:clientData/>
  </xdr:twoCellAnchor>
  <xdr:twoCellAnchor>
    <xdr:from>
      <xdr:col>0</xdr:col>
      <xdr:colOff>60960</xdr:colOff>
      <xdr:row>4</xdr:row>
      <xdr:rowOff>114300</xdr:rowOff>
    </xdr:from>
    <xdr:to>
      <xdr:col>2</xdr:col>
      <xdr:colOff>91440</xdr:colOff>
      <xdr:row>10</xdr:row>
      <xdr:rowOff>76200</xdr:rowOff>
    </xdr:to>
    <xdr:sp macro="" textlink="Sheet1!I4">
      <xdr:nvSpPr>
        <xdr:cNvPr id="9" name="TextBox 8">
          <a:extLst>
            <a:ext uri="{FF2B5EF4-FFF2-40B4-BE49-F238E27FC236}">
              <a16:creationId xmlns:a16="http://schemas.microsoft.com/office/drawing/2014/main" id="{88BE5969-0367-4891-B611-09701BD59268}"/>
            </a:ext>
          </a:extLst>
        </xdr:cNvPr>
        <xdr:cNvSpPr txBox="1"/>
      </xdr:nvSpPr>
      <xdr:spPr>
        <a:xfrm>
          <a:off x="60960" y="845820"/>
          <a:ext cx="1783080" cy="1059180"/>
        </a:xfrm>
        <a:prstGeom prst="rect">
          <a:avLst/>
        </a:prstGeom>
        <a:solidFill>
          <a:schemeClr val="accent4">
            <a:lumMod val="50000"/>
          </a:schemeClr>
        </a:solidFill>
        <a:ln w="9525"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EA4C87-934F-4C92-87D3-036BA6F0EE88}" type="TxLink">
            <a:rPr lang="en-US" sz="1800" b="1" i="0" u="none" strike="noStrike">
              <a:ln>
                <a:solidFill>
                  <a:schemeClr val="bg1"/>
                </a:solidFill>
              </a:ln>
              <a:solidFill>
                <a:schemeClr val="bg1"/>
              </a:solidFill>
              <a:latin typeface="Aptos Narrow"/>
              <a:ea typeface="+mn-ea"/>
              <a:cs typeface="+mn-cs"/>
            </a:rPr>
            <a:pPr marL="0" indent="0"/>
            <a:t>2,240</a:t>
          </a:fld>
          <a:endParaRPr lang="en-IN" sz="1800" b="1" i="0" u="none" strike="noStrike">
            <a:ln>
              <a:solidFill>
                <a:schemeClr val="bg1"/>
              </a:solidFill>
            </a:ln>
            <a:solidFill>
              <a:schemeClr val="bg1"/>
            </a:solidFill>
            <a:latin typeface="Aptos Narrow"/>
            <a:ea typeface="+mn-ea"/>
            <a:cs typeface="+mn-cs"/>
          </a:endParaRPr>
        </a:p>
      </xdr:txBody>
    </xdr:sp>
    <xdr:clientData/>
  </xdr:twoCellAnchor>
  <xdr:twoCellAnchor>
    <xdr:from>
      <xdr:col>0</xdr:col>
      <xdr:colOff>68580</xdr:colOff>
      <xdr:row>7</xdr:row>
      <xdr:rowOff>121920</xdr:rowOff>
    </xdr:from>
    <xdr:to>
      <xdr:col>2</xdr:col>
      <xdr:colOff>99060</xdr:colOff>
      <xdr:row>13</xdr:row>
      <xdr:rowOff>83820</xdr:rowOff>
    </xdr:to>
    <xdr:sp macro="" textlink="Sheet1!J4">
      <xdr:nvSpPr>
        <xdr:cNvPr id="10" name="TextBox 9">
          <a:extLst>
            <a:ext uri="{FF2B5EF4-FFF2-40B4-BE49-F238E27FC236}">
              <a16:creationId xmlns:a16="http://schemas.microsoft.com/office/drawing/2014/main" id="{567855A2-3CB4-4D1A-BFC2-CB064340C2B6}"/>
            </a:ext>
          </a:extLst>
        </xdr:cNvPr>
        <xdr:cNvSpPr txBox="1"/>
      </xdr:nvSpPr>
      <xdr:spPr>
        <a:xfrm>
          <a:off x="68580" y="1402080"/>
          <a:ext cx="1783080" cy="1059180"/>
        </a:xfrm>
        <a:prstGeom prst="rect">
          <a:avLst/>
        </a:prstGeom>
        <a:solidFill>
          <a:schemeClr val="accent4">
            <a:lumMod val="50000"/>
          </a:schemeClr>
        </a:solidFill>
        <a:ln w="9525"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736173-CBAC-4A45-AB6D-9EAA7526391A}" type="TxLink">
            <a:rPr lang="en-US" sz="1800" b="1" i="0" u="none" strike="noStrike">
              <a:ln>
                <a:solidFill>
                  <a:schemeClr val="bg1"/>
                </a:solidFill>
              </a:ln>
              <a:solidFill>
                <a:schemeClr val="bg1"/>
              </a:solidFill>
              <a:latin typeface="Aptos Narrow"/>
              <a:ea typeface="+mn-ea"/>
              <a:cs typeface="+mn-cs"/>
            </a:rPr>
            <a:pPr marL="0" indent="0"/>
            <a:t>$123.1k</a:t>
          </a:fld>
          <a:endParaRPr lang="en-IN" sz="1800" b="1" i="0" u="none" strike="noStrike">
            <a:ln>
              <a:solidFill>
                <a:schemeClr val="bg1"/>
              </a:solidFill>
            </a:ln>
            <a:solidFill>
              <a:schemeClr val="bg1"/>
            </a:solidFill>
            <a:latin typeface="Aptos Narrow"/>
            <a:ea typeface="+mn-ea"/>
            <a:cs typeface="+mn-cs"/>
          </a:endParaRPr>
        </a:p>
      </xdr:txBody>
    </xdr:sp>
    <xdr:clientData/>
  </xdr:twoCellAnchor>
  <xdr:twoCellAnchor>
    <xdr:from>
      <xdr:col>0</xdr:col>
      <xdr:colOff>152400</xdr:colOff>
      <xdr:row>10</xdr:row>
      <xdr:rowOff>144780</xdr:rowOff>
    </xdr:from>
    <xdr:to>
      <xdr:col>2</xdr:col>
      <xdr:colOff>182880</xdr:colOff>
      <xdr:row>16</xdr:row>
      <xdr:rowOff>106680</xdr:rowOff>
    </xdr:to>
    <xdr:sp macro="" textlink="Sheet1!K4">
      <xdr:nvSpPr>
        <xdr:cNvPr id="11" name="TextBox 10">
          <a:extLst>
            <a:ext uri="{FF2B5EF4-FFF2-40B4-BE49-F238E27FC236}">
              <a16:creationId xmlns:a16="http://schemas.microsoft.com/office/drawing/2014/main" id="{AEF3086C-C4A2-41FE-B537-A230669F1EEC}"/>
            </a:ext>
          </a:extLst>
        </xdr:cNvPr>
        <xdr:cNvSpPr txBox="1"/>
      </xdr:nvSpPr>
      <xdr:spPr>
        <a:xfrm>
          <a:off x="152400" y="1973580"/>
          <a:ext cx="1783080" cy="1059180"/>
        </a:xfrm>
        <a:prstGeom prst="rect">
          <a:avLst/>
        </a:prstGeom>
        <a:solidFill>
          <a:schemeClr val="accent4">
            <a:lumMod val="50000"/>
          </a:schemeClr>
        </a:solidFill>
        <a:ln w="9525"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BDF720-0450-4DFF-84CA-2EDF843142C8}" type="TxLink">
            <a:rPr lang="en-US" sz="1800" b="1" i="0" u="none" strike="noStrike">
              <a:ln>
                <a:solidFill>
                  <a:schemeClr val="bg1"/>
                </a:solidFill>
              </a:ln>
              <a:solidFill>
                <a:schemeClr val="bg1"/>
              </a:solidFill>
              <a:latin typeface="Aptos Narrow"/>
              <a:ea typeface="+mn-ea"/>
              <a:cs typeface="+mn-cs"/>
            </a:rPr>
            <a:pPr marL="0" indent="0"/>
            <a:t>4.0</a:t>
          </a:fld>
          <a:endParaRPr lang="en-IN" sz="1800" b="1" i="0" u="none" strike="noStrike">
            <a:ln>
              <a:solidFill>
                <a:schemeClr val="bg1"/>
              </a:solidFill>
            </a:ln>
            <a:solidFill>
              <a:schemeClr val="bg1"/>
            </a:solidFill>
            <a:latin typeface="Aptos Narrow"/>
            <a:ea typeface="+mn-ea"/>
            <a:cs typeface="+mn-cs"/>
          </a:endParaRPr>
        </a:p>
      </xdr:txBody>
    </xdr:sp>
    <xdr:clientData/>
  </xdr:twoCellAnchor>
  <xdr:twoCellAnchor>
    <xdr:from>
      <xdr:col>0</xdr:col>
      <xdr:colOff>144780</xdr:colOff>
      <xdr:row>13</xdr:row>
      <xdr:rowOff>175260</xdr:rowOff>
    </xdr:from>
    <xdr:to>
      <xdr:col>2</xdr:col>
      <xdr:colOff>175260</xdr:colOff>
      <xdr:row>19</xdr:row>
      <xdr:rowOff>137160</xdr:rowOff>
    </xdr:to>
    <xdr:sp macro="" textlink="Sheet1!L4">
      <xdr:nvSpPr>
        <xdr:cNvPr id="12" name="TextBox 11">
          <a:extLst>
            <a:ext uri="{FF2B5EF4-FFF2-40B4-BE49-F238E27FC236}">
              <a16:creationId xmlns:a16="http://schemas.microsoft.com/office/drawing/2014/main" id="{7DB8DF26-BA52-42C5-A6F7-3852369F8DFC}"/>
            </a:ext>
          </a:extLst>
        </xdr:cNvPr>
        <xdr:cNvSpPr txBox="1"/>
      </xdr:nvSpPr>
      <xdr:spPr>
        <a:xfrm>
          <a:off x="144780" y="2552700"/>
          <a:ext cx="1783080" cy="1059180"/>
        </a:xfrm>
        <a:prstGeom prst="rect">
          <a:avLst/>
        </a:prstGeom>
        <a:solidFill>
          <a:schemeClr val="accent4">
            <a:lumMod val="50000"/>
          </a:schemeClr>
        </a:solidFill>
        <a:ln w="9525" cmpd="sng">
          <a:solidFill>
            <a:schemeClr val="accent4">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80E832-3736-4734-B915-0B4A2C9BCA7E}" type="TxLink">
            <a:rPr lang="en-US" sz="1800" b="1" i="0" u="none" strike="noStrike">
              <a:ln>
                <a:solidFill>
                  <a:schemeClr val="bg1"/>
                </a:solidFill>
              </a:ln>
              <a:solidFill>
                <a:schemeClr val="bg1"/>
              </a:solidFill>
              <a:latin typeface="Aptos Narrow"/>
              <a:ea typeface="+mn-ea"/>
              <a:cs typeface="+mn-cs"/>
            </a:rPr>
            <a:pPr marL="0" indent="0"/>
            <a:t>2.6</a:t>
          </a:fld>
          <a:endParaRPr lang="en-IN" sz="1800" b="1" i="0" u="none" strike="noStrike">
            <a:ln>
              <a:solidFill>
                <a:schemeClr val="bg1"/>
              </a:solidFill>
            </a:ln>
            <a:solidFill>
              <a:schemeClr val="bg1"/>
            </a:solidFill>
            <a:latin typeface="Aptos Narrow"/>
            <a:ea typeface="+mn-ea"/>
            <a:cs typeface="+mn-cs"/>
          </a:endParaRPr>
        </a:p>
      </xdr:txBody>
    </xdr:sp>
    <xdr:clientData/>
  </xdr:twoCellAnchor>
  <xdr:oneCellAnchor>
    <xdr:from>
      <xdr:col>0</xdr:col>
      <xdr:colOff>0</xdr:colOff>
      <xdr:row>0</xdr:row>
      <xdr:rowOff>30480</xdr:rowOff>
    </xdr:from>
    <xdr:ext cx="827662" cy="301749"/>
    <xdr:sp macro="" textlink="">
      <xdr:nvSpPr>
        <xdr:cNvPr id="13" name="TextBox 12">
          <a:extLst>
            <a:ext uri="{FF2B5EF4-FFF2-40B4-BE49-F238E27FC236}">
              <a16:creationId xmlns:a16="http://schemas.microsoft.com/office/drawing/2014/main" id="{BEE8905D-84DC-9FA5-1344-56FDA234A7CB}"/>
            </a:ext>
          </a:extLst>
        </xdr:cNvPr>
        <xdr:cNvSpPr txBox="1"/>
      </xdr:nvSpPr>
      <xdr:spPr>
        <a:xfrm>
          <a:off x="0" y="30480"/>
          <a:ext cx="827662"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bg1"/>
              </a:solidFill>
            </a:rPr>
            <a:t>🛍️</a:t>
          </a:r>
          <a:r>
            <a:rPr lang="en-US" sz="1200" b="1">
              <a:solidFill>
                <a:schemeClr val="bg1"/>
              </a:solidFill>
            </a:rPr>
            <a:t>Orders</a:t>
          </a:r>
          <a:endParaRPr lang="en-IN" sz="1200" b="1">
            <a:solidFill>
              <a:schemeClr val="bg1"/>
            </a:solidFill>
          </a:endParaRPr>
        </a:p>
      </xdr:txBody>
    </xdr:sp>
    <xdr:clientData/>
  </xdr:oneCellAnchor>
  <xdr:oneCellAnchor>
    <xdr:from>
      <xdr:col>0</xdr:col>
      <xdr:colOff>0</xdr:colOff>
      <xdr:row>2</xdr:row>
      <xdr:rowOff>175260</xdr:rowOff>
    </xdr:from>
    <xdr:ext cx="611129" cy="301749"/>
    <xdr:sp macro="" textlink="">
      <xdr:nvSpPr>
        <xdr:cNvPr id="15" name="TextBox 14">
          <a:extLst>
            <a:ext uri="{FF2B5EF4-FFF2-40B4-BE49-F238E27FC236}">
              <a16:creationId xmlns:a16="http://schemas.microsoft.com/office/drawing/2014/main" id="{995DEB54-A2B1-4D9D-B536-A5681F4B73C7}"/>
            </a:ext>
          </a:extLst>
        </xdr:cNvPr>
        <xdr:cNvSpPr txBox="1"/>
      </xdr:nvSpPr>
      <xdr:spPr>
        <a:xfrm>
          <a:off x="0" y="541020"/>
          <a:ext cx="611129"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👚Qty</a:t>
          </a:r>
          <a:endParaRPr lang="en-IN" sz="1200" b="1">
            <a:solidFill>
              <a:schemeClr val="bg1"/>
            </a:solidFill>
          </a:endParaRPr>
        </a:p>
      </xdr:txBody>
    </xdr:sp>
    <xdr:clientData/>
  </xdr:oneCellAnchor>
  <xdr:oneCellAnchor>
    <xdr:from>
      <xdr:col>0</xdr:col>
      <xdr:colOff>0</xdr:colOff>
      <xdr:row>6</xdr:row>
      <xdr:rowOff>15240</xdr:rowOff>
    </xdr:from>
    <xdr:ext cx="891334" cy="301749"/>
    <xdr:sp macro="" textlink="">
      <xdr:nvSpPr>
        <xdr:cNvPr id="16" name="TextBox 15">
          <a:extLst>
            <a:ext uri="{FF2B5EF4-FFF2-40B4-BE49-F238E27FC236}">
              <a16:creationId xmlns:a16="http://schemas.microsoft.com/office/drawing/2014/main" id="{D9EA56FD-0248-4FDF-932C-BE2C212B39BE}"/>
            </a:ext>
          </a:extLst>
        </xdr:cNvPr>
        <xdr:cNvSpPr txBox="1"/>
      </xdr:nvSpPr>
      <xdr:spPr>
        <a:xfrm>
          <a:off x="0" y="1112520"/>
          <a:ext cx="891334"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💰Amount</a:t>
          </a:r>
          <a:endParaRPr lang="en-IN" sz="1200" b="1">
            <a:solidFill>
              <a:schemeClr val="bg1"/>
            </a:solidFill>
          </a:endParaRPr>
        </a:p>
      </xdr:txBody>
    </xdr:sp>
    <xdr:clientData/>
  </xdr:oneCellAnchor>
  <xdr:oneCellAnchor>
    <xdr:from>
      <xdr:col>0</xdr:col>
      <xdr:colOff>0</xdr:colOff>
      <xdr:row>9</xdr:row>
      <xdr:rowOff>83820</xdr:rowOff>
    </xdr:from>
    <xdr:ext cx="1020921" cy="301749"/>
    <xdr:sp macro="" textlink="">
      <xdr:nvSpPr>
        <xdr:cNvPr id="17" name="TextBox 16">
          <a:extLst>
            <a:ext uri="{FF2B5EF4-FFF2-40B4-BE49-F238E27FC236}">
              <a16:creationId xmlns:a16="http://schemas.microsoft.com/office/drawing/2014/main" id="{249A8A46-FDE9-4BC8-AFA3-A5754914E34C}"/>
            </a:ext>
          </a:extLst>
        </xdr:cNvPr>
        <xdr:cNvSpPr txBox="1"/>
      </xdr:nvSpPr>
      <xdr:spPr>
        <a:xfrm>
          <a:off x="0" y="1729740"/>
          <a:ext cx="1020921"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💯Avg.rating</a:t>
          </a:r>
          <a:endParaRPr lang="en-IN" sz="1200" b="1">
            <a:solidFill>
              <a:schemeClr val="bg1"/>
            </a:solidFill>
          </a:endParaRPr>
        </a:p>
      </xdr:txBody>
    </xdr:sp>
    <xdr:clientData/>
  </xdr:oneCellAnchor>
  <xdr:oneCellAnchor>
    <xdr:from>
      <xdr:col>0</xdr:col>
      <xdr:colOff>0</xdr:colOff>
      <xdr:row>12</xdr:row>
      <xdr:rowOff>45720</xdr:rowOff>
    </xdr:from>
    <xdr:ext cx="1324593" cy="301749"/>
    <xdr:sp macro="" textlink="">
      <xdr:nvSpPr>
        <xdr:cNvPr id="18" name="TextBox 17">
          <a:extLst>
            <a:ext uri="{FF2B5EF4-FFF2-40B4-BE49-F238E27FC236}">
              <a16:creationId xmlns:a16="http://schemas.microsoft.com/office/drawing/2014/main" id="{4440791C-F805-4841-B93C-7458FA7A55EE}"/>
            </a:ext>
          </a:extLst>
        </xdr:cNvPr>
        <xdr:cNvSpPr txBox="1"/>
      </xdr:nvSpPr>
      <xdr:spPr>
        <a:xfrm>
          <a:off x="0" y="2240280"/>
          <a:ext cx="1324593" cy="301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📅Days to deliver</a:t>
          </a:r>
          <a:endParaRPr lang="en-IN" sz="1200" b="1">
            <a:solidFill>
              <a:schemeClr val="bg1"/>
            </a:solidFill>
          </a:endParaRPr>
        </a:p>
      </xdr:txBody>
    </xdr:sp>
    <xdr:clientData/>
  </xdr:oneCellAnchor>
  <xdr:twoCellAnchor>
    <xdr:from>
      <xdr:col>3</xdr:col>
      <xdr:colOff>121920</xdr:colOff>
      <xdr:row>2</xdr:row>
      <xdr:rowOff>30956</xdr:rowOff>
    </xdr:from>
    <xdr:to>
      <xdr:col>9</xdr:col>
      <xdr:colOff>175260</xdr:colOff>
      <xdr:row>14</xdr:row>
      <xdr:rowOff>130969</xdr:rowOff>
    </xdr:to>
    <xdr:graphicFrame macro="">
      <xdr:nvGraphicFramePr>
        <xdr:cNvPr id="19" name="Chart 18">
          <a:extLst>
            <a:ext uri="{FF2B5EF4-FFF2-40B4-BE49-F238E27FC236}">
              <a16:creationId xmlns:a16="http://schemas.microsoft.com/office/drawing/2014/main" id="{C1B0A76E-349A-46C9-BB82-DC9C3827F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366712</xdr:colOff>
      <xdr:row>2</xdr:row>
      <xdr:rowOff>131444</xdr:rowOff>
    </xdr:from>
    <xdr:to>
      <xdr:col>15</xdr:col>
      <xdr:colOff>285749</xdr:colOff>
      <xdr:row>14</xdr:row>
      <xdr:rowOff>47624</xdr:rowOff>
    </xdr:to>
    <xdr:sp macro="" textlink="">
      <xdr:nvSpPr>
        <xdr:cNvPr id="21" name="Rectangle 20">
          <a:extLst>
            <a:ext uri="{FF2B5EF4-FFF2-40B4-BE49-F238E27FC236}">
              <a16:creationId xmlns:a16="http://schemas.microsoft.com/office/drawing/2014/main" id="{2F15CC1E-A7A7-95F0-E778-340C139E85A5}"/>
            </a:ext>
          </a:extLst>
        </xdr:cNvPr>
        <xdr:cNvSpPr/>
      </xdr:nvSpPr>
      <xdr:spPr>
        <a:xfrm>
          <a:off x="5605462" y="488632"/>
          <a:ext cx="3562350" cy="2059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481011</xdr:colOff>
      <xdr:row>3</xdr:row>
      <xdr:rowOff>85726</xdr:rowOff>
    </xdr:from>
    <xdr:to>
      <xdr:col>15</xdr:col>
      <xdr:colOff>130967</xdr:colOff>
      <xdr:row>13</xdr:row>
      <xdr:rowOff>109806</xdr:rowOff>
    </xdr:to>
    <xdr:pic>
      <xdr:nvPicPr>
        <xdr:cNvPr id="20" name="Picture 19">
          <a:extLst>
            <a:ext uri="{FF2B5EF4-FFF2-40B4-BE49-F238E27FC236}">
              <a16:creationId xmlns:a16="http://schemas.microsoft.com/office/drawing/2014/main" id="{2E7B3945-96DF-1E8A-6C2C-9C9FCB8BE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9761" y="621507"/>
          <a:ext cx="3293269" cy="1810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495299</xdr:colOff>
      <xdr:row>2</xdr:row>
      <xdr:rowOff>117157</xdr:rowOff>
    </xdr:from>
    <xdr:to>
      <xdr:col>21</xdr:col>
      <xdr:colOff>428625</xdr:colOff>
      <xdr:row>14</xdr:row>
      <xdr:rowOff>68103</xdr:rowOff>
    </xdr:to>
    <xdr:graphicFrame macro="">
      <xdr:nvGraphicFramePr>
        <xdr:cNvPr id="22" name="Chart 21">
          <a:extLst>
            <a:ext uri="{FF2B5EF4-FFF2-40B4-BE49-F238E27FC236}">
              <a16:creationId xmlns:a16="http://schemas.microsoft.com/office/drawing/2014/main" id="{99275373-9448-4BDA-B175-73F469F06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83343</xdr:colOff>
      <xdr:row>16</xdr:row>
      <xdr:rowOff>153828</xdr:rowOff>
    </xdr:from>
    <xdr:to>
      <xdr:col>9</xdr:col>
      <xdr:colOff>250031</xdr:colOff>
      <xdr:row>32</xdr:row>
      <xdr:rowOff>39528</xdr:rowOff>
    </xdr:to>
    <xdr:graphicFrame macro="">
      <xdr:nvGraphicFramePr>
        <xdr:cNvPr id="23" name="Chart 22">
          <a:extLst>
            <a:ext uri="{FF2B5EF4-FFF2-40B4-BE49-F238E27FC236}">
              <a16:creationId xmlns:a16="http://schemas.microsoft.com/office/drawing/2014/main" id="{3EB474B9-45A4-4DF3-BE27-003FDBEC0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452438</xdr:colOff>
      <xdr:row>17</xdr:row>
      <xdr:rowOff>130016</xdr:rowOff>
    </xdr:from>
    <xdr:to>
      <xdr:col>15</xdr:col>
      <xdr:colOff>309563</xdr:colOff>
      <xdr:row>32</xdr:row>
      <xdr:rowOff>23813</xdr:rowOff>
    </xdr:to>
    <xdr:graphicFrame macro="">
      <xdr:nvGraphicFramePr>
        <xdr:cNvPr id="24" name="Chart 23">
          <a:extLst>
            <a:ext uri="{FF2B5EF4-FFF2-40B4-BE49-F238E27FC236}">
              <a16:creationId xmlns:a16="http://schemas.microsoft.com/office/drawing/2014/main" id="{35560845-1F9A-4B73-9849-0E6B9CD31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277090</xdr:colOff>
      <xdr:row>15</xdr:row>
      <xdr:rowOff>105988</xdr:rowOff>
    </xdr:from>
    <xdr:to>
      <xdr:col>21</xdr:col>
      <xdr:colOff>83127</xdr:colOff>
      <xdr:row>26</xdr:row>
      <xdr:rowOff>55419</xdr:rowOff>
    </xdr:to>
    <xdr:graphicFrame macro="">
      <xdr:nvGraphicFramePr>
        <xdr:cNvPr id="25" name="Chart 24">
          <a:extLst>
            <a:ext uri="{FF2B5EF4-FFF2-40B4-BE49-F238E27FC236}">
              <a16:creationId xmlns:a16="http://schemas.microsoft.com/office/drawing/2014/main" id="{AB277B3F-C8DD-433A-9060-7C462E62F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484908</xdr:colOff>
      <xdr:row>27</xdr:row>
      <xdr:rowOff>22861</xdr:rowOff>
    </xdr:from>
    <xdr:to>
      <xdr:col>21</xdr:col>
      <xdr:colOff>471054</xdr:colOff>
      <xdr:row>40</xdr:row>
      <xdr:rowOff>166255</xdr:rowOff>
    </xdr:to>
    <xdr:graphicFrame macro="">
      <xdr:nvGraphicFramePr>
        <xdr:cNvPr id="26" name="Chart 25">
          <a:extLst>
            <a:ext uri="{FF2B5EF4-FFF2-40B4-BE49-F238E27FC236}">
              <a16:creationId xmlns:a16="http://schemas.microsoft.com/office/drawing/2014/main" id="{CF9F3DE6-4089-400D-A5F7-180C9E91C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108858</xdr:colOff>
      <xdr:row>16</xdr:row>
      <xdr:rowOff>108858</xdr:rowOff>
    </xdr:from>
    <xdr:to>
      <xdr:col>2</xdr:col>
      <xdr:colOff>76200</xdr:colOff>
      <xdr:row>27</xdr:row>
      <xdr:rowOff>0</xdr:rowOff>
    </xdr:to>
    <mc:AlternateContent xmlns:mc="http://schemas.openxmlformats.org/markup-compatibility/2006">
      <mc:Choice xmlns:a14="http://schemas.microsoft.com/office/drawing/2010/main" Requires="a14">
        <xdr:graphicFrame macro="">
          <xdr:nvGraphicFramePr>
            <xdr:cNvPr id="28" name="Order Mode">
              <a:extLst>
                <a:ext uri="{FF2B5EF4-FFF2-40B4-BE49-F238E27FC236}">
                  <a16:creationId xmlns:a16="http://schemas.microsoft.com/office/drawing/2014/main" id="{4847408D-6535-4C42-9E19-D2FDA080BF3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08858" y="2996437"/>
              <a:ext cx="1721947" cy="1876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76733</xdr:colOff>
      <xdr:row>28</xdr:row>
      <xdr:rowOff>21772</xdr:rowOff>
    </xdr:from>
    <xdr:to>
      <xdr:col>2</xdr:col>
      <xdr:colOff>32658</xdr:colOff>
      <xdr:row>37</xdr:row>
      <xdr:rowOff>141516</xdr:rowOff>
    </xdr:to>
    <mc:AlternateContent xmlns:mc="http://schemas.openxmlformats.org/markup-compatibility/2006">
      <mc:Choice xmlns:a14="http://schemas.microsoft.com/office/drawing/2010/main" Requires="a14">
        <xdr:graphicFrame macro="">
          <xdr:nvGraphicFramePr>
            <xdr:cNvPr id="29" name="Gender Value">
              <a:extLst>
                <a:ext uri="{FF2B5EF4-FFF2-40B4-BE49-F238E27FC236}">
                  <a16:creationId xmlns:a16="http://schemas.microsoft.com/office/drawing/2014/main" id="{BBA2E35D-8D3E-4475-A7D9-91AC7D7A819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76733" y="5075035"/>
              <a:ext cx="1710530" cy="1744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085.974087152776" createdVersion="8" refreshedVersion="8" minRefreshableVersion="3" recordCount="2400" xr:uid="{5C9CC5C2-71E4-46F5-B729-F731E556C24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34"/>
          <x v="34"/>
          <x v="34"/>
          <x v="3"/>
          <x v="34"/>
          <x v="34"/>
          <x v="4"/>
          <x v="35"/>
          <x v="34"/>
          <x v="5"/>
          <x v="34"/>
          <x v="35"/>
          <x v="35"/>
          <x v="35"/>
          <x v="6"/>
          <x v="7"/>
          <x v="8"/>
          <x v="35"/>
          <x v="35"/>
          <x v="9"/>
          <x v="10"/>
          <x v="11"/>
          <x v="12"/>
          <x v="13"/>
          <x v="35"/>
          <x v="14"/>
          <x v="15"/>
          <x v="16"/>
          <x v="17"/>
          <x v="18"/>
          <x v="19"/>
          <x v="20"/>
          <x v="21"/>
          <x v="22"/>
          <x v="23"/>
          <x v="24"/>
          <x v="25"/>
          <x v="26"/>
          <x v="27"/>
          <x v="28"/>
          <x v="29"/>
          <x v="30"/>
          <x v="31"/>
          <x v="32"/>
          <x v="33"/>
        </discretePr>
        <groupItems count="36">
          <n v="1"/>
          <n v="2"/>
          <n v="3"/>
          <n v="27"/>
          <n v="5"/>
          <n v="4"/>
          <n v="30"/>
          <n v="26"/>
          <n v="29"/>
          <n v="62"/>
          <n v="43"/>
          <n v="41"/>
          <n v="24"/>
          <n v="49"/>
          <n v="20"/>
          <n v="40"/>
          <n v="25"/>
          <n v="28"/>
          <n v="22"/>
          <n v="34"/>
          <n v="36"/>
          <n v="47"/>
          <n v="35"/>
          <n v="31"/>
          <n v="21"/>
          <n v="42"/>
          <n v="33"/>
          <n v="45"/>
          <n v="63"/>
          <n v="38"/>
          <n v="23"/>
          <n v="87"/>
          <n v="32"/>
          <n v="70"/>
          <s v="Group1"/>
          <s v="Group2"/>
        </groupItems>
      </fieldGroup>
    </cacheField>
  </cacheFields>
  <extLst>
    <ext xmlns:x14="http://schemas.microsoft.com/office/spreadsheetml/2009/9/main" uri="{725AE2AE-9491-48be-B2B4-4EB974FC3084}">
      <x14:pivotCacheDefinition pivotCacheId="52260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s v="California"/>
    <s v="Alpine County"/>
    <x v="0"/>
    <x v="0"/>
    <x v="0"/>
  </r>
  <r>
    <s v="TX500002"/>
    <x v="1"/>
    <x v="1"/>
    <n v="30.6"/>
    <n v="61.2"/>
    <x v="0"/>
    <d v="2025-01-03T00:00:00"/>
    <s v="M"/>
    <x v="0"/>
    <x v="0"/>
    <s v="California"/>
    <s v="Contra Costa County"/>
    <x v="1"/>
    <x v="0"/>
    <x v="1"/>
  </r>
  <r>
    <s v="TX500003"/>
    <x v="2"/>
    <x v="2"/>
    <n v="109.4"/>
    <n v="328.20000000000005"/>
    <x v="0"/>
    <d v="2025-01-04T00:00:00"/>
    <s v="F"/>
    <x v="0"/>
    <x v="1"/>
    <s v="California"/>
    <s v="Fresno County"/>
    <x v="2"/>
    <x v="0"/>
    <x v="2"/>
  </r>
  <r>
    <s v="TX500004"/>
    <x v="3"/>
    <x v="3"/>
    <n v="37.700000000000003"/>
    <n v="263.90000000000003"/>
    <x v="0"/>
    <d v="2025-01-02T00:00:00"/>
    <s v="F"/>
    <x v="0"/>
    <x v="0"/>
    <s v="California"/>
    <s v="Fresno County"/>
    <x v="3"/>
    <x v="0"/>
    <x v="2"/>
  </r>
  <r>
    <s v="TX500005"/>
    <x v="4"/>
    <x v="2"/>
    <n v="56.7"/>
    <n v="170.10000000000002"/>
    <x v="0"/>
    <d v="2025-01-04T00:00:00"/>
    <s v="F"/>
    <x v="0"/>
    <x v="2"/>
    <s v="California"/>
    <s v="Los Angeles County"/>
    <x v="2"/>
    <x v="0"/>
    <x v="2"/>
  </r>
  <r>
    <s v="TX500006"/>
    <x v="1"/>
    <x v="4"/>
    <n v="83.5"/>
    <n v="1002"/>
    <x v="0"/>
    <d v="2025-01-04T00:00:00"/>
    <s v="M"/>
    <x v="1"/>
    <x v="0"/>
    <s v="California"/>
    <s v="Los Angeles County"/>
    <x v="2"/>
    <x v="0"/>
    <x v="1"/>
  </r>
  <r>
    <s v="TX500007"/>
    <x v="5"/>
    <x v="0"/>
    <n v="55.3"/>
    <n v="55.3"/>
    <x v="0"/>
    <d v="2025-01-02T00:00:00"/>
    <s v="F"/>
    <x v="0"/>
    <x v="0"/>
    <s v="California"/>
    <s v="Los Angeles County"/>
    <x v="3"/>
    <x v="0"/>
    <x v="2"/>
  </r>
  <r>
    <s v="TX500008"/>
    <x v="6"/>
    <x v="1"/>
    <n v="40.299999999999997"/>
    <n v="80.599999999999994"/>
    <x v="0"/>
    <d v="2025-01-02T00:00:00"/>
    <s v="M"/>
    <x v="2"/>
    <x v="2"/>
    <s v="California"/>
    <s v="Los Angeles County"/>
    <x v="3"/>
    <x v="0"/>
    <x v="1"/>
  </r>
  <r>
    <s v="TX500009"/>
    <x v="7"/>
    <x v="5"/>
    <n v="35.700000000000003"/>
    <n v="392.70000000000005"/>
    <x v="0"/>
    <d v="2025-01-02T00:00:00"/>
    <s v="F"/>
    <x v="0"/>
    <x v="0"/>
    <s v="California"/>
    <s v="Los Angeles County"/>
    <x v="3"/>
    <x v="0"/>
    <x v="2"/>
  </r>
  <r>
    <s v="TX500010"/>
    <x v="8"/>
    <x v="3"/>
    <n v="22.4"/>
    <n v="156.79999999999998"/>
    <x v="0"/>
    <d v="2025-01-04T00:00:00"/>
    <s v="M"/>
    <x v="0"/>
    <x v="1"/>
    <s v="California"/>
    <s v="Los Angeles County"/>
    <x v="2"/>
    <x v="0"/>
    <x v="1"/>
  </r>
  <r>
    <s v="TX500011"/>
    <x v="9"/>
    <x v="1"/>
    <n v="54.4"/>
    <n v="108.8"/>
    <x v="0"/>
    <d v="2025-01-07T00:00:00"/>
    <s v="F"/>
    <x v="0"/>
    <x v="0"/>
    <s v="California"/>
    <s v="Los Angeles County"/>
    <x v="4"/>
    <x v="0"/>
    <x v="2"/>
  </r>
  <r>
    <s v="TX500012"/>
    <x v="9"/>
    <x v="1"/>
    <n v="49"/>
    <n v="98"/>
    <x v="0"/>
    <d v="2025-01-03T00:00:00"/>
    <s v="F"/>
    <x v="2"/>
    <x v="1"/>
    <s v="California"/>
    <s v="Los Angeles County"/>
    <x v="1"/>
    <x v="0"/>
    <x v="2"/>
  </r>
  <r>
    <s v="TX500013"/>
    <x v="5"/>
    <x v="3"/>
    <n v="118.6"/>
    <n v="830.19999999999993"/>
    <x v="0"/>
    <d v="2025-01-05T00:00:00"/>
    <s v="F"/>
    <x v="1"/>
    <x v="0"/>
    <s v="California"/>
    <s v="Nevada County"/>
    <x v="5"/>
    <x v="0"/>
    <x v="2"/>
  </r>
  <r>
    <s v="TX500014"/>
    <x v="6"/>
    <x v="6"/>
    <n v="88.4"/>
    <n v="2386.8000000000002"/>
    <x v="0"/>
    <d v="2025-01-08T00:00:00"/>
    <s v="M"/>
    <x v="3"/>
    <x v="0"/>
    <s v="California"/>
    <s v="Placer County"/>
    <x v="6"/>
    <x v="0"/>
    <x v="1"/>
  </r>
  <r>
    <s v="TX500015"/>
    <x v="10"/>
    <x v="0"/>
    <n v="66.7"/>
    <n v="66.7"/>
    <x v="0"/>
    <d v="2025-01-04T00:00:00"/>
    <s v="M"/>
    <x v="0"/>
    <x v="0"/>
    <s v="California"/>
    <s v="Sacramento County"/>
    <x v="2"/>
    <x v="0"/>
    <x v="1"/>
  </r>
  <r>
    <s v="TX500016"/>
    <x v="9"/>
    <x v="7"/>
    <n v="30.9"/>
    <n v="309"/>
    <x v="0"/>
    <d v="2025-01-02T00:00:00"/>
    <s v="M"/>
    <x v="1"/>
    <x v="2"/>
    <s v="California"/>
    <s v="Sacramento County"/>
    <x v="3"/>
    <x v="0"/>
    <x v="1"/>
  </r>
  <r>
    <s v="TX500017"/>
    <x v="4"/>
    <x v="2"/>
    <n v="31.1"/>
    <n v="93.300000000000011"/>
    <x v="0"/>
    <d v="2025-01-02T00:00:00"/>
    <s v="F"/>
    <x v="0"/>
    <x v="1"/>
    <s v="California"/>
    <s v="Sacramento County"/>
    <x v="3"/>
    <x v="0"/>
    <x v="2"/>
  </r>
  <r>
    <s v="TX500018"/>
    <x v="7"/>
    <x v="2"/>
    <n v="36.6"/>
    <n v="109.80000000000001"/>
    <x v="0"/>
    <d v="2025-01-04T00:00:00"/>
    <s v="F"/>
    <x v="0"/>
    <x v="0"/>
    <s v="California"/>
    <s v="San Bernardino County"/>
    <x v="2"/>
    <x v="0"/>
    <x v="2"/>
  </r>
  <r>
    <s v="TX500019"/>
    <x v="6"/>
    <x v="8"/>
    <n v="51.1"/>
    <n v="408.8"/>
    <x v="0"/>
    <d v="2025-01-04T00:00:00"/>
    <s v="F"/>
    <x v="2"/>
    <x v="3"/>
    <s v="California"/>
    <s v="San Bernardino County"/>
    <x v="2"/>
    <x v="0"/>
    <x v="2"/>
  </r>
  <r>
    <s v="TX500020"/>
    <x v="9"/>
    <x v="0"/>
    <n v="25.2"/>
    <n v="25.2"/>
    <x v="0"/>
    <d v="2025-01-02T00:00:00"/>
    <s v="F"/>
    <x v="1"/>
    <x v="2"/>
    <s v="California"/>
    <s v="San Diego County"/>
    <x v="3"/>
    <x v="0"/>
    <x v="2"/>
  </r>
  <r>
    <s v="TX500021"/>
    <x v="9"/>
    <x v="9"/>
    <n v="43.8"/>
    <n v="219"/>
    <x v="0"/>
    <d v="2025-01-04T00:00:00"/>
    <s v="F"/>
    <x v="2"/>
    <x v="0"/>
    <s v="California"/>
    <s v="San Diego County"/>
    <x v="2"/>
    <x v="0"/>
    <x v="2"/>
  </r>
  <r>
    <s v="TX500022"/>
    <x v="8"/>
    <x v="4"/>
    <n v="46.7"/>
    <n v="560.40000000000009"/>
    <x v="0"/>
    <d v="2025-01-02T00:00:00"/>
    <s v="F"/>
    <x v="1"/>
    <x v="1"/>
    <s v="California"/>
    <s v="San Diego County"/>
    <x v="3"/>
    <x v="0"/>
    <x v="2"/>
  </r>
  <r>
    <s v="TX500023"/>
    <x v="3"/>
    <x v="10"/>
    <n v="79.900000000000006"/>
    <n v="1518.1000000000001"/>
    <x v="0"/>
    <d v="2025-01-02T00:00:00"/>
    <s v="M"/>
    <x v="0"/>
    <x v="2"/>
    <s v="California"/>
    <s v="San Diego County"/>
    <x v="3"/>
    <x v="0"/>
    <x v="1"/>
  </r>
  <r>
    <s v="TX500024"/>
    <x v="11"/>
    <x v="8"/>
    <n v="26.4"/>
    <n v="211.2"/>
    <x v="0"/>
    <d v="2025-01-02T00:00:00"/>
    <s v="F"/>
    <x v="3"/>
    <x v="0"/>
    <s v="California"/>
    <s v="San Diego County"/>
    <x v="3"/>
    <x v="0"/>
    <x v="2"/>
  </r>
  <r>
    <s v="TX500025"/>
    <x v="12"/>
    <x v="8"/>
    <n v="88.8"/>
    <n v="710.4"/>
    <x v="0"/>
    <d v="2025-01-02T00:00:00"/>
    <s v="F"/>
    <x v="4"/>
    <x v="0"/>
    <s v="California"/>
    <s v="San Diego County"/>
    <x v="3"/>
    <x v="0"/>
    <x v="2"/>
  </r>
  <r>
    <s v="TX500026"/>
    <x v="0"/>
    <x v="7"/>
    <n v="17.5"/>
    <n v="175"/>
    <x v="0"/>
    <d v="2025-01-02T00:00:00"/>
    <s v="F"/>
    <x v="2"/>
    <x v="0"/>
    <s v="California"/>
    <s v="San Mateo County"/>
    <x v="3"/>
    <x v="0"/>
    <x v="2"/>
  </r>
  <r>
    <s v="TX500027"/>
    <x v="1"/>
    <x v="11"/>
    <n v="38.700000000000003"/>
    <n v="348.3"/>
    <x v="0"/>
    <d v="2025-01-04T00:00:00"/>
    <s v="M"/>
    <x v="1"/>
    <x v="0"/>
    <s v="California"/>
    <s v="Santa Barbara County"/>
    <x v="2"/>
    <x v="0"/>
    <x v="1"/>
  </r>
  <r>
    <s v="TX500028"/>
    <x v="13"/>
    <x v="12"/>
    <n v="57.2"/>
    <n v="228.8"/>
    <x v="0"/>
    <d v="2025-01-03T00:00:00"/>
    <s v=""/>
    <x v="1"/>
    <x v="2"/>
    <s v="California"/>
    <s v="Santa Clara County"/>
    <x v="1"/>
    <x v="0"/>
    <x v="0"/>
  </r>
  <r>
    <s v="TX500029"/>
    <x v="6"/>
    <x v="9"/>
    <n v="50.9"/>
    <n v="254.5"/>
    <x v="0"/>
    <d v="2025-01-07T00:00:00"/>
    <s v=""/>
    <x v="1"/>
    <x v="2"/>
    <s v="California"/>
    <s v="Tehama County"/>
    <x v="4"/>
    <x v="0"/>
    <x v="0"/>
  </r>
  <r>
    <s v="TX500030"/>
    <x v="14"/>
    <x v="3"/>
    <n v="41"/>
    <n v="287"/>
    <x v="0"/>
    <d v="2025-01-05T00:00:00"/>
    <s v="F"/>
    <x v="1"/>
    <x v="0"/>
    <s v="California"/>
    <s v="Ventura County"/>
    <x v="5"/>
    <x v="0"/>
    <x v="2"/>
  </r>
  <r>
    <s v="TX500031"/>
    <x v="8"/>
    <x v="3"/>
    <n v="19.100000000000001"/>
    <n v="133.70000000000002"/>
    <x v="0"/>
    <d v="2025-01-05T00:00:00"/>
    <s v="M"/>
    <x v="0"/>
    <x v="2"/>
    <s v="California"/>
    <s v="Calaveras County"/>
    <x v="5"/>
    <x v="0"/>
    <x v="1"/>
  </r>
  <r>
    <s v="TX500032"/>
    <x v="2"/>
    <x v="9"/>
    <n v="166.1"/>
    <n v="830.5"/>
    <x v="0"/>
    <d v="2025-01-04T00:00:00"/>
    <s v="M"/>
    <x v="0"/>
    <x v="0"/>
    <s v="California"/>
    <s v="Inyo County"/>
    <x v="2"/>
    <x v="0"/>
    <x v="1"/>
  </r>
  <r>
    <s v="TX500033"/>
    <x v="4"/>
    <x v="2"/>
    <n v="29.9"/>
    <n v="89.699999999999989"/>
    <x v="0"/>
    <d v="2025-01-02T00:00:00"/>
    <s v="M"/>
    <x v="3"/>
    <x v="0"/>
    <s v="California"/>
    <s v="Los Angeles County"/>
    <x v="3"/>
    <x v="0"/>
    <x v="1"/>
  </r>
  <r>
    <s v="TX500034"/>
    <x v="10"/>
    <x v="13"/>
    <n v="21.7"/>
    <n v="130.19999999999999"/>
    <x v="0"/>
    <d v="2025-01-03T00:00:00"/>
    <s v="O"/>
    <x v="2"/>
    <x v="2"/>
    <s v="California"/>
    <s v="Los Angeles County"/>
    <x v="1"/>
    <x v="0"/>
    <x v="3"/>
  </r>
  <r>
    <s v="TX500035"/>
    <x v="11"/>
    <x v="1"/>
    <n v="32"/>
    <n v="64"/>
    <x v="0"/>
    <d v="2025-01-04T00:00:00"/>
    <s v="M"/>
    <x v="0"/>
    <x v="2"/>
    <s v="California"/>
    <s v="Los Angeles County"/>
    <x v="2"/>
    <x v="0"/>
    <x v="1"/>
  </r>
  <r>
    <s v="TX500036"/>
    <x v="8"/>
    <x v="1"/>
    <n v="15.8"/>
    <n v="31.6"/>
    <x v="0"/>
    <d v="2025-01-02T00:00:00"/>
    <s v="M"/>
    <x v="4"/>
    <x v="2"/>
    <s v="California"/>
    <s v="Los Angeles County"/>
    <x v="3"/>
    <x v="0"/>
    <x v="1"/>
  </r>
  <r>
    <s v="TX500037"/>
    <x v="2"/>
    <x v="14"/>
    <n v="203.1"/>
    <n v="3452.7"/>
    <x v="0"/>
    <d v="2025-01-05T00:00:00"/>
    <s v="M"/>
    <x v="3"/>
    <x v="1"/>
    <s v="California"/>
    <s v="Los Angeles County"/>
    <x v="5"/>
    <x v="0"/>
    <x v="1"/>
  </r>
  <r>
    <s v="TX500038"/>
    <x v="7"/>
    <x v="15"/>
    <n v="39"/>
    <n v="507"/>
    <x v="0"/>
    <d v="2025-01-07T00:00:00"/>
    <s v="M"/>
    <x v="0"/>
    <x v="2"/>
    <s v="California"/>
    <s v="Los Angeles County"/>
    <x v="4"/>
    <x v="0"/>
    <x v="1"/>
  </r>
  <r>
    <s v="TX500039"/>
    <x v="10"/>
    <x v="0"/>
    <n v="26.5"/>
    <n v="26.5"/>
    <x v="1"/>
    <d v="2025-01-03T00:00:00"/>
    <s v="M"/>
    <x v="2"/>
    <x v="0"/>
    <s v="California"/>
    <s v="Los Angeles County"/>
    <x v="3"/>
    <x v="0"/>
    <x v="1"/>
  </r>
  <r>
    <s v="TX500040"/>
    <x v="5"/>
    <x v="0"/>
    <n v="43.1"/>
    <n v="43.1"/>
    <x v="1"/>
    <d v="2025-01-03T00:00:00"/>
    <s v="F"/>
    <x v="2"/>
    <x v="1"/>
    <s v="California"/>
    <s v="Los Angeles County"/>
    <x v="3"/>
    <x v="0"/>
    <x v="2"/>
  </r>
  <r>
    <s v="TX500041"/>
    <x v="1"/>
    <x v="2"/>
    <n v="139"/>
    <n v="417"/>
    <x v="1"/>
    <d v="2025-01-03T00:00:00"/>
    <s v="F"/>
    <x v="4"/>
    <x v="2"/>
    <s v="California"/>
    <s v="Los Angeles County"/>
    <x v="3"/>
    <x v="0"/>
    <x v="2"/>
  </r>
  <r>
    <s v="TX500042"/>
    <x v="12"/>
    <x v="0"/>
    <n v="80.7"/>
    <n v="80.7"/>
    <x v="1"/>
    <d v="2025-01-03T00:00:00"/>
    <s v="M"/>
    <x v="0"/>
    <x v="2"/>
    <s v="California"/>
    <s v="Napa County"/>
    <x v="3"/>
    <x v="0"/>
    <x v="1"/>
  </r>
  <r>
    <s v="TX500043"/>
    <x v="4"/>
    <x v="1"/>
    <n v="54.5"/>
    <n v="109"/>
    <x v="1"/>
    <d v="2025-01-04T00:00:00"/>
    <s v="M"/>
    <x v="1"/>
    <x v="1"/>
    <s v="California"/>
    <s v="Sacramento County"/>
    <x v="1"/>
    <x v="0"/>
    <x v="1"/>
  </r>
  <r>
    <s v="TX500044"/>
    <x v="6"/>
    <x v="2"/>
    <n v="68.599999999999994"/>
    <n v="205.79999999999998"/>
    <x v="1"/>
    <d v="2025-01-02T00:00:00"/>
    <s v="F"/>
    <x v="0"/>
    <x v="1"/>
    <s v="California"/>
    <s v="San Diego County"/>
    <x v="7"/>
    <x v="0"/>
    <x v="2"/>
  </r>
  <r>
    <s v="TX500045"/>
    <x v="2"/>
    <x v="12"/>
    <n v="135.9"/>
    <n v="543.6"/>
    <x v="1"/>
    <d v="2025-01-03T00:00:00"/>
    <s v="F"/>
    <x v="2"/>
    <x v="2"/>
    <s v="California"/>
    <s v="San Diego County"/>
    <x v="3"/>
    <x v="0"/>
    <x v="2"/>
  </r>
  <r>
    <s v="TX500046"/>
    <x v="2"/>
    <x v="12"/>
    <n v="70.900000000000006"/>
    <n v="283.60000000000002"/>
    <x v="1"/>
    <d v="2025-01-03T00:00:00"/>
    <s v="F"/>
    <x v="0"/>
    <x v="0"/>
    <s v="California"/>
    <s v="San Francisco"/>
    <x v="3"/>
    <x v="0"/>
    <x v="2"/>
  </r>
  <r>
    <s v="TX500047"/>
    <x v="1"/>
    <x v="9"/>
    <n v="63.7"/>
    <n v="318.5"/>
    <x v="1"/>
    <d v="2025-01-03T00:00:00"/>
    <s v="M"/>
    <x v="1"/>
    <x v="1"/>
    <s v="California"/>
    <s v="San Mateo County"/>
    <x v="3"/>
    <x v="0"/>
    <x v="1"/>
  </r>
  <r>
    <s v="TX500048"/>
    <x v="13"/>
    <x v="0"/>
    <n v="29.7"/>
    <n v="29.7"/>
    <x v="1"/>
    <d v="2025-01-04T00:00:00"/>
    <s v="F"/>
    <x v="1"/>
    <x v="0"/>
    <s v="California"/>
    <s v="Santa Clara County"/>
    <x v="1"/>
    <x v="0"/>
    <x v="2"/>
  </r>
  <r>
    <s v="TX500049"/>
    <x v="4"/>
    <x v="2"/>
    <n v="26.8"/>
    <n v="80.400000000000006"/>
    <x v="1"/>
    <d v="2025-01-11T00:00:00"/>
    <s v="F"/>
    <x v="1"/>
    <x v="2"/>
    <s v="California"/>
    <s v="Santa Clara County"/>
    <x v="8"/>
    <x v="0"/>
    <x v="2"/>
  </r>
  <r>
    <s v="TX500050"/>
    <x v="14"/>
    <x v="0"/>
    <n v="27"/>
    <n v="27"/>
    <x v="1"/>
    <d v="2025-01-04T00:00:00"/>
    <s v="F"/>
    <x v="0"/>
    <x v="0"/>
    <s v="California"/>
    <s v="Sonoma County"/>
    <x v="1"/>
    <x v="0"/>
    <x v="2"/>
  </r>
  <r>
    <s v="TX500051"/>
    <x v="8"/>
    <x v="0"/>
    <n v="41.4"/>
    <n v="41.4"/>
    <x v="1"/>
    <d v="2025-01-03T00:00:00"/>
    <s v="M"/>
    <x v="1"/>
    <x v="2"/>
    <s v="California"/>
    <s v="Stanislaus County"/>
    <x v="3"/>
    <x v="0"/>
    <x v="1"/>
  </r>
  <r>
    <s v="TX500052"/>
    <x v="8"/>
    <x v="1"/>
    <n v="24.3"/>
    <n v="48.6"/>
    <x v="1"/>
    <d v="2025-01-05T00:00:00"/>
    <s v="F"/>
    <x v="1"/>
    <x v="0"/>
    <s v="California"/>
    <s v="Stanislaus County"/>
    <x v="2"/>
    <x v="0"/>
    <x v="2"/>
  </r>
  <r>
    <s v="TX500053"/>
    <x v="8"/>
    <x v="2"/>
    <n v="41.7"/>
    <n v="125.10000000000001"/>
    <x v="1"/>
    <d v="2025-01-04T00:00:00"/>
    <s v="M"/>
    <x v="0"/>
    <x v="2"/>
    <s v="California"/>
    <s v="Tulare County"/>
    <x v="1"/>
    <x v="0"/>
    <x v="1"/>
  </r>
  <r>
    <s v="TX500054"/>
    <x v="0"/>
    <x v="1"/>
    <n v="18"/>
    <n v="36"/>
    <x v="1"/>
    <d v="2025-01-03T00:00:00"/>
    <s v="F"/>
    <x v="0"/>
    <x v="2"/>
    <s v="California"/>
    <s v="Alameda County"/>
    <x v="3"/>
    <x v="0"/>
    <x v="2"/>
  </r>
  <r>
    <s v="TX500055"/>
    <x v="7"/>
    <x v="2"/>
    <n v="91.3"/>
    <n v="273.89999999999998"/>
    <x v="1"/>
    <d v="2025-01-05T00:00:00"/>
    <s v="M"/>
    <x v="2"/>
    <x v="2"/>
    <s v="California"/>
    <s v="Los Angeles County"/>
    <x v="2"/>
    <x v="0"/>
    <x v="1"/>
  </r>
  <r>
    <s v="TX500056"/>
    <x v="8"/>
    <x v="8"/>
    <n v="19.3"/>
    <n v="154.4"/>
    <x v="1"/>
    <d v="2025-01-03T00:00:00"/>
    <s v="M"/>
    <x v="0"/>
    <x v="0"/>
    <s v="California"/>
    <s v="Los Angeles County"/>
    <x v="3"/>
    <x v="0"/>
    <x v="1"/>
  </r>
  <r>
    <s v="TX500057"/>
    <x v="12"/>
    <x v="15"/>
    <n v="63.2"/>
    <n v="821.6"/>
    <x v="1"/>
    <d v="2025-01-03T00:00:00"/>
    <s v="F"/>
    <x v="0"/>
    <x v="0"/>
    <s v="California"/>
    <s v="Los Angeles County"/>
    <x v="3"/>
    <x v="0"/>
    <x v="2"/>
  </r>
  <r>
    <s v="TX500058"/>
    <x v="10"/>
    <x v="11"/>
    <n v="33.299999999999997"/>
    <n v="299.7"/>
    <x v="2"/>
    <d v="2025-01-11T00:00:00"/>
    <s v="F"/>
    <x v="0"/>
    <x v="2"/>
    <s v="California"/>
    <s v="Los Angeles County"/>
    <x v="9"/>
    <x v="0"/>
    <x v="2"/>
  </r>
  <r>
    <s v="TX500059"/>
    <x v="7"/>
    <x v="1"/>
    <n v="64.2"/>
    <n v="128.4"/>
    <x v="2"/>
    <d v="2025-01-04T00:00:00"/>
    <s v="M"/>
    <x v="0"/>
    <x v="2"/>
    <s v="California"/>
    <s v="Los Angeles County"/>
    <x v="3"/>
    <x v="0"/>
    <x v="1"/>
  </r>
  <r>
    <s v="TX500060"/>
    <x v="9"/>
    <x v="2"/>
    <n v="23.1"/>
    <n v="69.300000000000011"/>
    <x v="2"/>
    <d v="2025-01-06T00:00:00"/>
    <s v="F"/>
    <x v="1"/>
    <x v="2"/>
    <s v="California"/>
    <s v="Los Angeles County"/>
    <x v="2"/>
    <x v="0"/>
    <x v="2"/>
  </r>
  <r>
    <s v="TX500061"/>
    <x v="15"/>
    <x v="1"/>
    <n v="71.099999999999994"/>
    <n v="142.19999999999999"/>
    <x v="2"/>
    <d v="2025-01-05T00:00:00"/>
    <s v="F"/>
    <x v="3"/>
    <x v="1"/>
    <s v="California"/>
    <s v="Los Angeles County"/>
    <x v="1"/>
    <x v="0"/>
    <x v="2"/>
  </r>
  <r>
    <s v="TX500062"/>
    <x v="0"/>
    <x v="1"/>
    <n v="11.5"/>
    <n v="23"/>
    <x v="2"/>
    <d v="2025-01-04T00:00:00"/>
    <s v="F"/>
    <x v="0"/>
    <x v="0"/>
    <s v="California"/>
    <s v="Los Angeles County"/>
    <x v="3"/>
    <x v="0"/>
    <x v="2"/>
  </r>
  <r>
    <s v="TX500063"/>
    <x v="15"/>
    <x v="10"/>
    <n v="69.2"/>
    <n v="1314.8"/>
    <x v="2"/>
    <d v="2025-01-08T00:00:00"/>
    <s v="F"/>
    <x v="0"/>
    <x v="0"/>
    <s v="California"/>
    <s v="Los Angeles County"/>
    <x v="0"/>
    <x v="0"/>
    <x v="2"/>
  </r>
  <r>
    <s v="TX500064"/>
    <x v="0"/>
    <x v="0"/>
    <n v="26.8"/>
    <n v="26.8"/>
    <x v="2"/>
    <d v="2025-01-04T00:00:00"/>
    <s v="M"/>
    <x v="2"/>
    <x v="4"/>
    <s v="California"/>
    <s v="Los Angeles County"/>
    <x v="3"/>
    <x v="0"/>
    <x v="1"/>
  </r>
  <r>
    <s v="TX500065"/>
    <x v="16"/>
    <x v="2"/>
    <n v="31.2"/>
    <n v="93.6"/>
    <x v="2"/>
    <d v="2025-01-06T00:00:00"/>
    <s v="F"/>
    <x v="0"/>
    <x v="0"/>
    <s v="California"/>
    <s v="Los Angeles County"/>
    <x v="2"/>
    <x v="0"/>
    <x v="2"/>
  </r>
  <r>
    <s v="TX500066"/>
    <x v="12"/>
    <x v="1"/>
    <n v="113.2"/>
    <n v="226.4"/>
    <x v="2"/>
    <d v="2025-01-04T00:00:00"/>
    <s v="F"/>
    <x v="4"/>
    <x v="0"/>
    <s v="California"/>
    <s v="Los Angeles County"/>
    <x v="3"/>
    <x v="0"/>
    <x v="2"/>
  </r>
  <r>
    <s v="TX500067"/>
    <x v="10"/>
    <x v="8"/>
    <n v="21"/>
    <n v="168"/>
    <x v="2"/>
    <d v="2025-01-04T00:00:00"/>
    <s v="M"/>
    <x v="0"/>
    <x v="0"/>
    <s v="California"/>
    <s v="Sacramento County"/>
    <x v="3"/>
    <x v="0"/>
    <x v="1"/>
  </r>
  <r>
    <s v="TX500068"/>
    <x v="1"/>
    <x v="1"/>
    <n v="89.1"/>
    <n v="178.2"/>
    <x v="2"/>
    <d v="2025-01-04T00:00:00"/>
    <s v="F"/>
    <x v="2"/>
    <x v="2"/>
    <s v="California"/>
    <s v="Sacramento County"/>
    <x v="3"/>
    <x v="0"/>
    <x v="2"/>
  </r>
  <r>
    <s v="TX500069"/>
    <x v="1"/>
    <x v="0"/>
    <n v="97.7"/>
    <n v="97.7"/>
    <x v="2"/>
    <d v="2025-01-05T00:00:00"/>
    <s v="F"/>
    <x v="0"/>
    <x v="1"/>
    <s v="California"/>
    <s v="Sacramento County"/>
    <x v="1"/>
    <x v="0"/>
    <x v="2"/>
  </r>
  <r>
    <s v="TX500070"/>
    <x v="15"/>
    <x v="12"/>
    <n v="97.7"/>
    <n v="390.8"/>
    <x v="2"/>
    <d v="2025-01-05T00:00:00"/>
    <s v="M"/>
    <x v="3"/>
    <x v="0"/>
    <s v="California"/>
    <s v="Sacramento County"/>
    <x v="1"/>
    <x v="0"/>
    <x v="1"/>
  </r>
  <r>
    <s v="TX500071"/>
    <x v="17"/>
    <x v="2"/>
    <n v="47.4"/>
    <n v="142.19999999999999"/>
    <x v="2"/>
    <d v="2025-01-06T00:00:00"/>
    <s v="M"/>
    <x v="3"/>
    <x v="2"/>
    <s v="California"/>
    <s v="San Diego County"/>
    <x v="2"/>
    <x v="0"/>
    <x v="1"/>
  </r>
  <r>
    <s v="TX500072"/>
    <x v="7"/>
    <x v="0"/>
    <n v="89.6"/>
    <n v="89.6"/>
    <x v="2"/>
    <d v="2025-01-06T00:00:00"/>
    <s v="F"/>
    <x v="0"/>
    <x v="2"/>
    <s v="California"/>
    <s v="San Diego County"/>
    <x v="2"/>
    <x v="0"/>
    <x v="2"/>
  </r>
  <r>
    <s v="TX500073"/>
    <x v="10"/>
    <x v="16"/>
    <n v="28.4"/>
    <n v="511.2"/>
    <x v="2"/>
    <d v="2025-01-06T00:00:00"/>
    <s v="F"/>
    <x v="3"/>
    <x v="2"/>
    <s v="California"/>
    <s v="San Francisco"/>
    <x v="2"/>
    <x v="0"/>
    <x v="2"/>
  </r>
  <r>
    <s v="TX500074"/>
    <x v="0"/>
    <x v="1"/>
    <n v="17.899999999999999"/>
    <n v="35.799999999999997"/>
    <x v="2"/>
    <d v="2025-01-04T00:00:00"/>
    <s v="F"/>
    <x v="0"/>
    <x v="2"/>
    <s v="California"/>
    <s v="San Mateo County"/>
    <x v="3"/>
    <x v="0"/>
    <x v="2"/>
  </r>
  <r>
    <s v="TX500075"/>
    <x v="9"/>
    <x v="1"/>
    <n v="48.4"/>
    <n v="96.8"/>
    <x v="2"/>
    <d v="2025-01-06T00:00:00"/>
    <s v="M"/>
    <x v="1"/>
    <x v="0"/>
    <s v="California"/>
    <s v="San Mateo County"/>
    <x v="2"/>
    <x v="0"/>
    <x v="1"/>
  </r>
  <r>
    <s v="TX500076"/>
    <x v="12"/>
    <x v="12"/>
    <n v="44.4"/>
    <n v="177.6"/>
    <x v="2"/>
    <d v="2025-01-04T00:00:00"/>
    <s v="O"/>
    <x v="1"/>
    <x v="1"/>
    <s v="California"/>
    <s v="Santa Clara County"/>
    <x v="3"/>
    <x v="0"/>
    <x v="3"/>
  </r>
  <r>
    <s v="TX500077"/>
    <x v="2"/>
    <x v="8"/>
    <n v="103.7"/>
    <n v="829.6"/>
    <x v="2"/>
    <d v="2025-01-04T00:00:00"/>
    <s v="F"/>
    <x v="0"/>
    <x v="1"/>
    <s v="California"/>
    <s v="Stanislaus County"/>
    <x v="3"/>
    <x v="0"/>
    <x v="2"/>
  </r>
  <r>
    <s v="TX500078"/>
    <x v="5"/>
    <x v="12"/>
    <n v="58.6"/>
    <n v="234.4"/>
    <x v="2"/>
    <d v="2025-01-05T00:00:00"/>
    <s v="M"/>
    <x v="3"/>
    <x v="0"/>
    <s v="California"/>
    <s v="Stanislaus County"/>
    <x v="1"/>
    <x v="0"/>
    <x v="1"/>
  </r>
  <r>
    <s v="TX500079"/>
    <x v="9"/>
    <x v="12"/>
    <n v="54.8"/>
    <n v="219.2"/>
    <x v="2"/>
    <d v="2025-01-07T00:00:00"/>
    <s v="F"/>
    <x v="2"/>
    <x v="1"/>
    <s v="California"/>
    <s v="Ventura County"/>
    <x v="5"/>
    <x v="0"/>
    <x v="2"/>
  </r>
  <r>
    <s v="TX500080"/>
    <x v="12"/>
    <x v="2"/>
    <n v="78.8"/>
    <n v="236.39999999999998"/>
    <x v="2"/>
    <d v="2025-01-09T00:00:00"/>
    <s v="F"/>
    <x v="4"/>
    <x v="1"/>
    <s v="California"/>
    <s v="Alameda County"/>
    <x v="4"/>
    <x v="0"/>
    <x v="2"/>
  </r>
  <r>
    <s v="TX500081"/>
    <x v="18"/>
    <x v="9"/>
    <n v="36.799999999999997"/>
    <n v="184"/>
    <x v="2"/>
    <d v="2025-01-06T00:00:00"/>
    <s v="M"/>
    <x v="4"/>
    <x v="1"/>
    <s v="California"/>
    <s v="Kern County"/>
    <x v="2"/>
    <x v="0"/>
    <x v="1"/>
  </r>
  <r>
    <s v="TX500082"/>
    <x v="6"/>
    <x v="13"/>
    <n v="50.6"/>
    <n v="303.60000000000002"/>
    <x v="2"/>
    <d v="2025-01-05T00:00:00"/>
    <s v="F"/>
    <x v="3"/>
    <x v="0"/>
    <s v="California"/>
    <s v="Los Angeles County"/>
    <x v="1"/>
    <x v="0"/>
    <x v="2"/>
  </r>
  <r>
    <s v="TX500083"/>
    <x v="15"/>
    <x v="2"/>
    <n v="36.799999999999997"/>
    <n v="110.39999999999999"/>
    <x v="2"/>
    <d v="2025-01-03T00:00:00"/>
    <s v="M"/>
    <x v="2"/>
    <x v="1"/>
    <s v="California"/>
    <s v="Los Angeles County"/>
    <x v="7"/>
    <x v="0"/>
    <x v="1"/>
  </r>
  <r>
    <s v="TX500084"/>
    <x v="8"/>
    <x v="11"/>
    <n v="41.8"/>
    <n v="376.2"/>
    <x v="3"/>
    <d v="2025-01-10T00:00:00"/>
    <s v="F"/>
    <x v="3"/>
    <x v="0"/>
    <s v="California"/>
    <s v="Los Angeles County"/>
    <x v="4"/>
    <x v="0"/>
    <x v="2"/>
  </r>
  <r>
    <s v="TX500085"/>
    <x v="18"/>
    <x v="0"/>
    <n v="77.3"/>
    <n v="77.3"/>
    <x v="3"/>
    <d v="2025-01-05T00:00:00"/>
    <s v="M"/>
    <x v="4"/>
    <x v="4"/>
    <s v="California"/>
    <s v="Los Angeles County"/>
    <x v="3"/>
    <x v="0"/>
    <x v="1"/>
  </r>
  <r>
    <s v="TX500086"/>
    <x v="8"/>
    <x v="12"/>
    <n v="19.8"/>
    <n v="79.2"/>
    <x v="3"/>
    <d v="2025-01-10T00:00:00"/>
    <s v="M"/>
    <x v="1"/>
    <x v="2"/>
    <s v="California"/>
    <s v="Los Angeles County"/>
    <x v="4"/>
    <x v="0"/>
    <x v="1"/>
  </r>
  <r>
    <s v="TX500087"/>
    <x v="13"/>
    <x v="12"/>
    <n v="15.5"/>
    <n v="62"/>
    <x v="3"/>
    <d v="2025-01-05T00:00:00"/>
    <s v="F"/>
    <x v="1"/>
    <x v="2"/>
    <s v="California"/>
    <s v="Los Angeles County"/>
    <x v="3"/>
    <x v="0"/>
    <x v="2"/>
  </r>
  <r>
    <s v="TX500088"/>
    <x v="12"/>
    <x v="0"/>
    <n v="46.8"/>
    <n v="46.8"/>
    <x v="3"/>
    <d v="2025-01-08T00:00:00"/>
    <s v="M"/>
    <x v="0"/>
    <x v="2"/>
    <s v="California"/>
    <s v="Los Angeles County"/>
    <x v="5"/>
    <x v="0"/>
    <x v="1"/>
  </r>
  <r>
    <s v="TX500089"/>
    <x v="9"/>
    <x v="11"/>
    <n v="28.6"/>
    <n v="257.40000000000003"/>
    <x v="3"/>
    <d v="2025-01-08T00:00:00"/>
    <s v="M"/>
    <x v="0"/>
    <x v="2"/>
    <s v="California"/>
    <s v="Los Angeles County"/>
    <x v="5"/>
    <x v="0"/>
    <x v="1"/>
  </r>
  <r>
    <s v="TX500090"/>
    <x v="2"/>
    <x v="0"/>
    <n v="97.7"/>
    <n v="97.7"/>
    <x v="3"/>
    <d v="2025-01-07T00:00:00"/>
    <s v="F"/>
    <x v="1"/>
    <x v="0"/>
    <s v="California"/>
    <s v="Los Angeles County"/>
    <x v="2"/>
    <x v="0"/>
    <x v="2"/>
  </r>
  <r>
    <s v="TX500091"/>
    <x v="9"/>
    <x v="9"/>
    <n v="54.7"/>
    <n v="273.5"/>
    <x v="3"/>
    <d v="2025-01-07T00:00:00"/>
    <s v=""/>
    <x v="0"/>
    <x v="2"/>
    <s v="California"/>
    <s v="Riverside County"/>
    <x v="2"/>
    <x v="0"/>
    <x v="0"/>
  </r>
  <r>
    <s v="TX500092"/>
    <x v="2"/>
    <x v="13"/>
    <n v="130.5"/>
    <n v="783"/>
    <x v="3"/>
    <d v="2025-01-06T00:00:00"/>
    <s v="F"/>
    <x v="0"/>
    <x v="1"/>
    <s v="California"/>
    <s v="Riverside County"/>
    <x v="1"/>
    <x v="0"/>
    <x v="2"/>
  </r>
  <r>
    <s v="TX500093"/>
    <x v="11"/>
    <x v="1"/>
    <n v="50.4"/>
    <n v="100.8"/>
    <x v="3"/>
    <d v="2025-01-06T00:00:00"/>
    <s v="M"/>
    <x v="2"/>
    <x v="2"/>
    <s v="California"/>
    <s v="Sacramento County"/>
    <x v="1"/>
    <x v="0"/>
    <x v="1"/>
  </r>
  <r>
    <s v="TX500094"/>
    <x v="6"/>
    <x v="15"/>
    <n v="61.5"/>
    <n v="799.5"/>
    <x v="3"/>
    <d v="2025-01-05T00:00:00"/>
    <s v=""/>
    <x v="3"/>
    <x v="1"/>
    <s v="California"/>
    <s v="Santa Clara County"/>
    <x v="3"/>
    <x v="0"/>
    <x v="0"/>
  </r>
  <r>
    <s v="TX500095"/>
    <x v="9"/>
    <x v="12"/>
    <n v="30.1"/>
    <n v="120.4"/>
    <x v="3"/>
    <d v="2025-01-05T00:00:00"/>
    <s v="F"/>
    <x v="0"/>
    <x v="2"/>
    <s v="California"/>
    <s v="Alameda County"/>
    <x v="3"/>
    <x v="0"/>
    <x v="2"/>
  </r>
  <r>
    <s v="TX500096"/>
    <x v="2"/>
    <x v="9"/>
    <n v="74.8"/>
    <n v="374"/>
    <x v="3"/>
    <d v="2025-01-05T00:00:00"/>
    <s v="F"/>
    <x v="1"/>
    <x v="0"/>
    <s v="California"/>
    <s v="Contra Costa County"/>
    <x v="3"/>
    <x v="0"/>
    <x v="2"/>
  </r>
  <r>
    <s v="TX500097"/>
    <x v="16"/>
    <x v="2"/>
    <n v="64.900000000000006"/>
    <n v="194.70000000000002"/>
    <x v="3"/>
    <d v="2025-01-11T00:00:00"/>
    <s v="M"/>
    <x v="0"/>
    <x v="0"/>
    <s v="California"/>
    <s v="Fresno County"/>
    <x v="6"/>
    <x v="0"/>
    <x v="1"/>
  </r>
  <r>
    <s v="TX500098"/>
    <x v="9"/>
    <x v="1"/>
    <n v="50.5"/>
    <n v="101"/>
    <x v="3"/>
    <d v="2025-01-06T00:00:00"/>
    <s v="M"/>
    <x v="1"/>
    <x v="0"/>
    <s v="California"/>
    <s v="Kern County"/>
    <x v="1"/>
    <x v="0"/>
    <x v="1"/>
  </r>
  <r>
    <s v="TX500099"/>
    <x v="11"/>
    <x v="3"/>
    <n v="63"/>
    <n v="441"/>
    <x v="3"/>
    <d v="2025-01-07T00:00:00"/>
    <s v="M"/>
    <x v="3"/>
    <x v="2"/>
    <s v="California"/>
    <s v="Los Angeles County"/>
    <x v="2"/>
    <x v="0"/>
    <x v="1"/>
  </r>
  <r>
    <s v="TX500100"/>
    <x v="2"/>
    <x v="2"/>
    <n v="93.6"/>
    <n v="280.79999999999995"/>
    <x v="3"/>
    <d v="2025-01-17T00:00:00"/>
    <s v="F"/>
    <x v="0"/>
    <x v="2"/>
    <s v="California"/>
    <s v="Los Angeles County"/>
    <x v="10"/>
    <x v="0"/>
    <x v="2"/>
  </r>
  <r>
    <s v="TX500101"/>
    <x v="5"/>
    <x v="17"/>
    <n v="41.4"/>
    <n v="1242"/>
    <x v="3"/>
    <d v="2025-01-08T00:00:00"/>
    <s v="M"/>
    <x v="2"/>
    <x v="2"/>
    <s v="California"/>
    <s v="Los Angeles County"/>
    <x v="5"/>
    <x v="0"/>
    <x v="1"/>
  </r>
  <r>
    <s v="TX500102"/>
    <x v="2"/>
    <x v="1"/>
    <n v="160"/>
    <n v="320"/>
    <x v="4"/>
    <d v="2025-01-06T00:00:00"/>
    <s v="M"/>
    <x v="2"/>
    <x v="2"/>
    <s v="California"/>
    <s v="Placer County"/>
    <x v="3"/>
    <x v="1"/>
    <x v="1"/>
  </r>
  <r>
    <s v="TX500103"/>
    <x v="19"/>
    <x v="5"/>
    <n v="10.5"/>
    <n v="115.5"/>
    <x v="4"/>
    <d v="2025-01-08T00:00:00"/>
    <s v="F"/>
    <x v="4"/>
    <x v="0"/>
    <s v="California"/>
    <s v="San Diego County"/>
    <x v="2"/>
    <x v="1"/>
    <x v="2"/>
  </r>
  <r>
    <s v="TX500104"/>
    <x v="10"/>
    <x v="1"/>
    <n v="53"/>
    <n v="106"/>
    <x v="4"/>
    <d v="2025-01-05T00:00:00"/>
    <s v="M"/>
    <x v="2"/>
    <x v="4"/>
    <s v="California"/>
    <s v="San Francisco"/>
    <x v="7"/>
    <x v="1"/>
    <x v="1"/>
  </r>
  <r>
    <s v="TX500105"/>
    <x v="8"/>
    <x v="2"/>
    <n v="18.5"/>
    <n v="55.5"/>
    <x v="4"/>
    <d v="2025-01-10T00:00:00"/>
    <s v="F"/>
    <x v="1"/>
    <x v="2"/>
    <s v="California"/>
    <s v="Santa Clara County"/>
    <x v="0"/>
    <x v="1"/>
    <x v="2"/>
  </r>
  <r>
    <s v="TX500106"/>
    <x v="16"/>
    <x v="2"/>
    <n v="84.5"/>
    <n v="253.5"/>
    <x v="4"/>
    <d v="2025-01-07T00:00:00"/>
    <s v="F"/>
    <x v="4"/>
    <x v="1"/>
    <s v="California"/>
    <s v="Ventura County"/>
    <x v="1"/>
    <x v="1"/>
    <x v="2"/>
  </r>
  <r>
    <s v="TX500107"/>
    <x v="15"/>
    <x v="3"/>
    <n v="31.2"/>
    <n v="218.4"/>
    <x v="4"/>
    <d v="2025-01-05T00:00:00"/>
    <s v="F"/>
    <x v="2"/>
    <x v="2"/>
    <s v="California"/>
    <s v="Los Angeles County"/>
    <x v="7"/>
    <x v="1"/>
    <x v="2"/>
  </r>
  <r>
    <s v="TX500108"/>
    <x v="8"/>
    <x v="16"/>
    <n v="32.6"/>
    <n v="586.80000000000007"/>
    <x v="4"/>
    <d v="2025-01-06T00:00:00"/>
    <s v="M"/>
    <x v="1"/>
    <x v="1"/>
    <s v="California"/>
    <s v="Los Angeles County"/>
    <x v="3"/>
    <x v="1"/>
    <x v="1"/>
  </r>
  <r>
    <s v="TX500109"/>
    <x v="10"/>
    <x v="12"/>
    <n v="45.4"/>
    <n v="181.6"/>
    <x v="4"/>
    <d v="2025-01-07T00:00:00"/>
    <s v="M"/>
    <x v="1"/>
    <x v="0"/>
    <s v="California"/>
    <s v="Los Angeles County"/>
    <x v="1"/>
    <x v="1"/>
    <x v="1"/>
  </r>
  <r>
    <s v="TX500110"/>
    <x v="2"/>
    <x v="4"/>
    <n v="120"/>
    <n v="1440"/>
    <x v="4"/>
    <d v="2025-01-06T00:00:00"/>
    <s v="F"/>
    <x v="2"/>
    <x v="4"/>
    <s v="California"/>
    <s v="Los Angeles County"/>
    <x v="3"/>
    <x v="1"/>
    <x v="2"/>
  </r>
  <r>
    <s v="TX500111"/>
    <x v="0"/>
    <x v="12"/>
    <n v="18.899999999999999"/>
    <n v="75.599999999999994"/>
    <x v="4"/>
    <d v="2025-01-07T00:00:00"/>
    <s v="M"/>
    <x v="0"/>
    <x v="2"/>
    <s v="California"/>
    <s v="Los Angeles County"/>
    <x v="1"/>
    <x v="1"/>
    <x v="1"/>
  </r>
  <r>
    <s v="TX500112"/>
    <x v="4"/>
    <x v="0"/>
    <n v="32"/>
    <n v="32"/>
    <x v="4"/>
    <d v="2025-01-07T00:00:00"/>
    <s v="F"/>
    <x v="4"/>
    <x v="0"/>
    <s v="California"/>
    <s v="Los Angeles County"/>
    <x v="1"/>
    <x v="1"/>
    <x v="2"/>
  </r>
  <r>
    <s v="TX500113"/>
    <x v="7"/>
    <x v="1"/>
    <n v="37.299999999999997"/>
    <n v="74.599999999999994"/>
    <x v="4"/>
    <d v="2025-01-06T00:00:00"/>
    <s v="M"/>
    <x v="2"/>
    <x v="0"/>
    <s v="California"/>
    <s v="Los Angeles County"/>
    <x v="3"/>
    <x v="1"/>
    <x v="1"/>
  </r>
  <r>
    <s v="TX500114"/>
    <x v="18"/>
    <x v="0"/>
    <n v="119.8"/>
    <n v="119.8"/>
    <x v="4"/>
    <d v="2025-01-06T00:00:00"/>
    <s v="M"/>
    <x v="1"/>
    <x v="1"/>
    <s v="California"/>
    <s v="Los Angeles County"/>
    <x v="3"/>
    <x v="1"/>
    <x v="1"/>
  </r>
  <r>
    <s v="TX500115"/>
    <x v="10"/>
    <x v="1"/>
    <n v="26.4"/>
    <n v="52.8"/>
    <x v="4"/>
    <d v="2025-01-08T00:00:00"/>
    <s v="M"/>
    <x v="2"/>
    <x v="0"/>
    <s v="California"/>
    <s v="Los Angeles County"/>
    <x v="2"/>
    <x v="1"/>
    <x v="1"/>
  </r>
  <r>
    <s v="TX500116"/>
    <x v="6"/>
    <x v="13"/>
    <n v="76.5"/>
    <n v="459"/>
    <x v="4"/>
    <d v="2025-01-06T00:00:00"/>
    <s v="F"/>
    <x v="1"/>
    <x v="1"/>
    <s v="California"/>
    <s v="Los Angeles County"/>
    <x v="3"/>
    <x v="1"/>
    <x v="2"/>
  </r>
  <r>
    <s v="TX500117"/>
    <x v="4"/>
    <x v="7"/>
    <n v="45.7"/>
    <n v="457"/>
    <x v="4"/>
    <d v="2025-01-06T00:00:00"/>
    <s v="F"/>
    <x v="2"/>
    <x v="0"/>
    <s v="California"/>
    <s v="Merced County"/>
    <x v="3"/>
    <x v="1"/>
    <x v="2"/>
  </r>
  <r>
    <s v="TX500118"/>
    <x v="1"/>
    <x v="4"/>
    <n v="92.6"/>
    <n v="1111.1999999999998"/>
    <x v="4"/>
    <d v="2025-01-07T00:00:00"/>
    <s v="F"/>
    <x v="2"/>
    <x v="0"/>
    <s v="California"/>
    <s v="Orange County"/>
    <x v="1"/>
    <x v="1"/>
    <x v="2"/>
  </r>
  <r>
    <s v="TX500119"/>
    <x v="6"/>
    <x v="13"/>
    <n v="60.1"/>
    <n v="360.6"/>
    <x v="4"/>
    <d v="2025-01-06T00:00:00"/>
    <s v="M"/>
    <x v="1"/>
    <x v="0"/>
    <s v="California"/>
    <s v="Riverside County"/>
    <x v="3"/>
    <x v="1"/>
    <x v="1"/>
  </r>
  <r>
    <s v="TX500120"/>
    <x v="1"/>
    <x v="2"/>
    <n v="73"/>
    <n v="219"/>
    <x v="4"/>
    <d v="2025-01-06T00:00:00"/>
    <s v="F"/>
    <x v="3"/>
    <x v="1"/>
    <s v="California"/>
    <s v="Sacramento County"/>
    <x v="3"/>
    <x v="1"/>
    <x v="2"/>
  </r>
  <r>
    <s v="TX500121"/>
    <x v="6"/>
    <x v="2"/>
    <n v="44.3"/>
    <n v="132.89999999999998"/>
    <x v="4"/>
    <d v="2025-01-09T00:00:00"/>
    <s v=""/>
    <x v="2"/>
    <x v="2"/>
    <s v="California"/>
    <s v="Sacramento County"/>
    <x v="5"/>
    <x v="1"/>
    <x v="0"/>
  </r>
  <r>
    <s v="TX500122"/>
    <x v="6"/>
    <x v="2"/>
    <n v="63.3"/>
    <n v="189.89999999999998"/>
    <x v="4"/>
    <d v="2025-01-06T00:00:00"/>
    <s v="M"/>
    <x v="2"/>
    <x v="0"/>
    <s v="California"/>
    <s v="Sacramento County"/>
    <x v="3"/>
    <x v="1"/>
    <x v="1"/>
  </r>
  <r>
    <s v="TX500123"/>
    <x v="12"/>
    <x v="0"/>
    <n v="66.8"/>
    <n v="66.8"/>
    <x v="4"/>
    <d v="2025-01-06T00:00:00"/>
    <s v="F"/>
    <x v="1"/>
    <x v="0"/>
    <s v="California"/>
    <s v="Sacramento County"/>
    <x v="3"/>
    <x v="1"/>
    <x v="2"/>
  </r>
  <r>
    <s v="TX500124"/>
    <x v="2"/>
    <x v="1"/>
    <n v="59.7"/>
    <n v="119.4"/>
    <x v="4"/>
    <d v="2025-01-06T00:00:00"/>
    <s v="F"/>
    <x v="0"/>
    <x v="0"/>
    <s v="California"/>
    <s v="San Bernardino County"/>
    <x v="3"/>
    <x v="1"/>
    <x v="2"/>
  </r>
  <r>
    <s v="TX500125"/>
    <x v="1"/>
    <x v="13"/>
    <n v="92"/>
    <n v="552"/>
    <x v="4"/>
    <d v="2025-01-07T00:00:00"/>
    <s v="M"/>
    <x v="0"/>
    <x v="4"/>
    <s v="California"/>
    <s v="San Bernardino County"/>
    <x v="1"/>
    <x v="1"/>
    <x v="1"/>
  </r>
  <r>
    <s v="TX500126"/>
    <x v="7"/>
    <x v="1"/>
    <n v="87.6"/>
    <n v="175.2"/>
    <x v="4"/>
    <d v="2025-01-07T00:00:00"/>
    <s v="M"/>
    <x v="1"/>
    <x v="1"/>
    <s v="California"/>
    <s v="San Diego County"/>
    <x v="1"/>
    <x v="1"/>
    <x v="1"/>
  </r>
  <r>
    <s v="TX500127"/>
    <x v="6"/>
    <x v="2"/>
    <n v="84.5"/>
    <n v="253.5"/>
    <x v="4"/>
    <d v="2025-01-06T00:00:00"/>
    <s v="F"/>
    <x v="1"/>
    <x v="1"/>
    <s v="California"/>
    <s v="San Diego County"/>
    <x v="3"/>
    <x v="1"/>
    <x v="2"/>
  </r>
  <r>
    <s v="TX500128"/>
    <x v="1"/>
    <x v="1"/>
    <n v="116.3"/>
    <n v="232.6"/>
    <x v="5"/>
    <d v="2025-01-08T00:00:00"/>
    <s v="M"/>
    <x v="2"/>
    <x v="2"/>
    <s v="California"/>
    <s v="San Diego County"/>
    <x v="1"/>
    <x v="1"/>
    <x v="1"/>
  </r>
  <r>
    <s v="TX500129"/>
    <x v="6"/>
    <x v="9"/>
    <n v="52.7"/>
    <n v="263.5"/>
    <x v="5"/>
    <d v="2025-01-10T00:00:00"/>
    <s v="M"/>
    <x v="0"/>
    <x v="0"/>
    <s v="California"/>
    <s v="San Diego County"/>
    <x v="5"/>
    <x v="1"/>
    <x v="1"/>
  </r>
  <r>
    <s v="TX500130"/>
    <x v="16"/>
    <x v="2"/>
    <n v="34.200000000000003"/>
    <n v="102.60000000000001"/>
    <x v="5"/>
    <d v="2025-01-07T00:00:00"/>
    <s v="M"/>
    <x v="0"/>
    <x v="2"/>
    <s v="California"/>
    <s v="San Joaquin County"/>
    <x v="3"/>
    <x v="1"/>
    <x v="1"/>
  </r>
  <r>
    <s v="TX500131"/>
    <x v="9"/>
    <x v="0"/>
    <n v="23.3"/>
    <n v="23.3"/>
    <x v="5"/>
    <d v="2025-01-15T00:00:00"/>
    <s v="O"/>
    <x v="2"/>
    <x v="2"/>
    <s v="California"/>
    <s v="San Mateo County"/>
    <x v="8"/>
    <x v="1"/>
    <x v="3"/>
  </r>
  <r>
    <s v="TX500132"/>
    <x v="0"/>
    <x v="18"/>
    <n v="25.9"/>
    <n v="673.4"/>
    <x v="5"/>
    <d v="2025-01-09T00:00:00"/>
    <s v="F"/>
    <x v="4"/>
    <x v="1"/>
    <s v="California"/>
    <s v="San Mateo County"/>
    <x v="2"/>
    <x v="1"/>
    <x v="2"/>
  </r>
  <r>
    <s v="TX500133"/>
    <x v="6"/>
    <x v="19"/>
    <n v="54.9"/>
    <n v="1592.1"/>
    <x v="5"/>
    <d v="2025-01-07T00:00:00"/>
    <s v="M"/>
    <x v="1"/>
    <x v="2"/>
    <s v="California"/>
    <s v="San Mateo County"/>
    <x v="3"/>
    <x v="1"/>
    <x v="1"/>
  </r>
  <r>
    <s v="TX500134"/>
    <x v="5"/>
    <x v="2"/>
    <n v="75.8"/>
    <n v="227.39999999999998"/>
    <x v="5"/>
    <d v="2025-01-11T00:00:00"/>
    <s v="O"/>
    <x v="1"/>
    <x v="0"/>
    <s v="California"/>
    <s v="Sonoma County"/>
    <x v="0"/>
    <x v="1"/>
    <x v="3"/>
  </r>
  <r>
    <s v="TX500135"/>
    <x v="1"/>
    <x v="11"/>
    <n v="44.9"/>
    <n v="404.09999999999997"/>
    <x v="5"/>
    <d v="2025-01-09T00:00:00"/>
    <s v="F"/>
    <x v="2"/>
    <x v="2"/>
    <s v="California"/>
    <s v="Fresno County"/>
    <x v="2"/>
    <x v="1"/>
    <x v="2"/>
  </r>
  <r>
    <s v="TX500136"/>
    <x v="11"/>
    <x v="1"/>
    <n v="48.8"/>
    <n v="97.6"/>
    <x v="5"/>
    <d v="2025-01-08T00:00:00"/>
    <s v="F"/>
    <x v="3"/>
    <x v="0"/>
    <s v="California"/>
    <s v="Glenn County"/>
    <x v="1"/>
    <x v="1"/>
    <x v="2"/>
  </r>
  <r>
    <s v="TX500137"/>
    <x v="15"/>
    <x v="0"/>
    <n v="20.3"/>
    <n v="20.3"/>
    <x v="5"/>
    <d v="2025-01-07T00:00:00"/>
    <s v="F"/>
    <x v="0"/>
    <x v="2"/>
    <s v="California"/>
    <s v="Kern County"/>
    <x v="3"/>
    <x v="1"/>
    <x v="2"/>
  </r>
  <r>
    <s v="TX500138"/>
    <x v="5"/>
    <x v="3"/>
    <n v="36.4"/>
    <n v="254.79999999999998"/>
    <x v="5"/>
    <d v="2025-01-09T00:00:00"/>
    <s v="F"/>
    <x v="0"/>
    <x v="1"/>
    <s v="California"/>
    <s v="Los Angeles County"/>
    <x v="2"/>
    <x v="1"/>
    <x v="2"/>
  </r>
  <r>
    <s v="TX500139"/>
    <x v="0"/>
    <x v="0"/>
    <n v="19"/>
    <n v="19"/>
    <x v="5"/>
    <d v="2025-01-11T00:00:00"/>
    <s v="F"/>
    <x v="1"/>
    <x v="2"/>
    <s v="California"/>
    <s v="Los Angeles County"/>
    <x v="0"/>
    <x v="1"/>
    <x v="2"/>
  </r>
  <r>
    <s v="TX500140"/>
    <x v="8"/>
    <x v="0"/>
    <n v="17.8"/>
    <n v="17.8"/>
    <x v="5"/>
    <d v="2025-01-06T00:00:00"/>
    <s v="M"/>
    <x v="0"/>
    <x v="0"/>
    <s v="California"/>
    <s v="Los Angeles County"/>
    <x v="7"/>
    <x v="1"/>
    <x v="1"/>
  </r>
  <r>
    <s v="TX500141"/>
    <x v="2"/>
    <x v="13"/>
    <n v="139.6"/>
    <n v="837.59999999999991"/>
    <x v="5"/>
    <d v="2025-01-09T00:00:00"/>
    <s v="M"/>
    <x v="0"/>
    <x v="0"/>
    <s v="California"/>
    <s v="Los Angeles County"/>
    <x v="2"/>
    <x v="1"/>
    <x v="1"/>
  </r>
  <r>
    <s v="TX500142"/>
    <x v="9"/>
    <x v="0"/>
    <n v="31.7"/>
    <n v="31.7"/>
    <x v="5"/>
    <d v="2025-01-06T00:00:00"/>
    <s v=""/>
    <x v="0"/>
    <x v="0"/>
    <s v="California"/>
    <s v="Los Angeles County"/>
    <x v="7"/>
    <x v="1"/>
    <x v="0"/>
  </r>
  <r>
    <s v="TX500143"/>
    <x v="8"/>
    <x v="8"/>
    <n v="26.3"/>
    <n v="210.4"/>
    <x v="5"/>
    <d v="2025-01-09T00:00:00"/>
    <s v="F"/>
    <x v="4"/>
    <x v="4"/>
    <s v="California"/>
    <s v="Los Angeles County"/>
    <x v="2"/>
    <x v="1"/>
    <x v="2"/>
  </r>
  <r>
    <s v="TX500144"/>
    <x v="4"/>
    <x v="1"/>
    <n v="47.8"/>
    <n v="95.6"/>
    <x v="5"/>
    <d v="2025-01-07T00:00:00"/>
    <s v=""/>
    <x v="0"/>
    <x v="0"/>
    <s v="California"/>
    <s v="Los Angeles County"/>
    <x v="3"/>
    <x v="1"/>
    <x v="0"/>
  </r>
  <r>
    <s v="TX500145"/>
    <x v="9"/>
    <x v="2"/>
    <n v="69.400000000000006"/>
    <n v="208.20000000000002"/>
    <x v="5"/>
    <d v="2025-01-10T00:00:00"/>
    <s v="F"/>
    <x v="0"/>
    <x v="0"/>
    <s v="California"/>
    <s v="Los Angeles County"/>
    <x v="5"/>
    <x v="1"/>
    <x v="2"/>
  </r>
  <r>
    <s v="TX500146"/>
    <x v="18"/>
    <x v="4"/>
    <n v="25.8"/>
    <n v="309.60000000000002"/>
    <x v="5"/>
    <d v="2025-01-07T00:00:00"/>
    <s v="M"/>
    <x v="4"/>
    <x v="4"/>
    <s v="California"/>
    <s v="Los Angeles County"/>
    <x v="3"/>
    <x v="1"/>
    <x v="1"/>
  </r>
  <r>
    <s v="TX500147"/>
    <x v="0"/>
    <x v="12"/>
    <n v="26.4"/>
    <n v="105.6"/>
    <x v="5"/>
    <d v="2025-01-07T00:00:00"/>
    <s v="M"/>
    <x v="1"/>
    <x v="2"/>
    <s v="California"/>
    <s v="Los Angeles County"/>
    <x v="3"/>
    <x v="1"/>
    <x v="1"/>
  </r>
  <r>
    <s v="TX500148"/>
    <x v="8"/>
    <x v="12"/>
    <n v="15.7"/>
    <n v="62.8"/>
    <x v="5"/>
    <d v="2025-01-07T00:00:00"/>
    <s v="M"/>
    <x v="2"/>
    <x v="0"/>
    <s v="California"/>
    <s v="Los Angeles County"/>
    <x v="3"/>
    <x v="1"/>
    <x v="1"/>
  </r>
  <r>
    <s v="TX500149"/>
    <x v="8"/>
    <x v="0"/>
    <n v="39.700000000000003"/>
    <n v="39.700000000000003"/>
    <x v="5"/>
    <d v="2025-01-10T00:00:00"/>
    <s v="M"/>
    <x v="0"/>
    <x v="0"/>
    <s v="California"/>
    <s v="Los Angeles County"/>
    <x v="5"/>
    <x v="1"/>
    <x v="1"/>
  </r>
  <r>
    <s v="TX500150"/>
    <x v="10"/>
    <x v="12"/>
    <n v="31.1"/>
    <n v="124.4"/>
    <x v="5"/>
    <d v="2025-01-08T00:00:00"/>
    <s v="F"/>
    <x v="2"/>
    <x v="1"/>
    <s v="California"/>
    <s v="Los Angeles County"/>
    <x v="1"/>
    <x v="1"/>
    <x v="2"/>
  </r>
  <r>
    <s v="TX500151"/>
    <x v="13"/>
    <x v="20"/>
    <n v="23.4"/>
    <n v="351"/>
    <x v="5"/>
    <d v="2025-01-15T00:00:00"/>
    <s v="M"/>
    <x v="0"/>
    <x v="0"/>
    <s v="California"/>
    <s v="Los Angeles County"/>
    <x v="8"/>
    <x v="1"/>
    <x v="1"/>
  </r>
  <r>
    <s v="TX500152"/>
    <x v="1"/>
    <x v="12"/>
    <n v="57.1"/>
    <n v="228.4"/>
    <x v="6"/>
    <d v="2025-01-08T00:00:00"/>
    <s v="M"/>
    <x v="2"/>
    <x v="0"/>
    <s v="California"/>
    <s v="Orange County"/>
    <x v="3"/>
    <x v="1"/>
    <x v="1"/>
  </r>
  <r>
    <s v="TX500153"/>
    <x v="2"/>
    <x v="9"/>
    <n v="89.9"/>
    <n v="449.5"/>
    <x v="6"/>
    <d v="2025-01-07T00:00:00"/>
    <s v="F"/>
    <x v="0"/>
    <x v="3"/>
    <s v="California"/>
    <s v="Riverside County"/>
    <x v="7"/>
    <x v="1"/>
    <x v="2"/>
  </r>
  <r>
    <s v="TX500154"/>
    <x v="10"/>
    <x v="3"/>
    <n v="48.1"/>
    <n v="336.7"/>
    <x v="6"/>
    <d v="2025-01-09T00:00:00"/>
    <s v="F"/>
    <x v="1"/>
    <x v="2"/>
    <s v="California"/>
    <s v="Sacramento County"/>
    <x v="1"/>
    <x v="1"/>
    <x v="2"/>
  </r>
  <r>
    <s v="TX500155"/>
    <x v="8"/>
    <x v="1"/>
    <n v="29.3"/>
    <n v="58.6"/>
    <x v="6"/>
    <d v="2025-01-07T00:00:00"/>
    <s v="F"/>
    <x v="1"/>
    <x v="1"/>
    <s v="California"/>
    <s v="Sacramento County"/>
    <x v="7"/>
    <x v="1"/>
    <x v="2"/>
  </r>
  <r>
    <s v="TX500156"/>
    <x v="8"/>
    <x v="12"/>
    <n v="28.8"/>
    <n v="115.2"/>
    <x v="6"/>
    <d v="2025-01-08T00:00:00"/>
    <s v="F"/>
    <x v="0"/>
    <x v="4"/>
    <s v="California"/>
    <s v="Sacramento County"/>
    <x v="3"/>
    <x v="1"/>
    <x v="2"/>
  </r>
  <r>
    <s v="TX500157"/>
    <x v="10"/>
    <x v="9"/>
    <n v="40.5"/>
    <n v="202.5"/>
    <x v="6"/>
    <d v="2025-01-11T00:00:00"/>
    <s v="F"/>
    <x v="3"/>
    <x v="0"/>
    <s v="California"/>
    <s v="Sacramento County"/>
    <x v="5"/>
    <x v="1"/>
    <x v="2"/>
  </r>
  <r>
    <s v="TX500158"/>
    <x v="18"/>
    <x v="21"/>
    <n v="65.099999999999994"/>
    <n v="911.39999999999986"/>
    <x v="6"/>
    <d v="2025-01-08T00:00:00"/>
    <s v="F"/>
    <x v="4"/>
    <x v="0"/>
    <s v="California"/>
    <s v="San Bernardino County"/>
    <x v="3"/>
    <x v="1"/>
    <x v="2"/>
  </r>
  <r>
    <s v="TX500159"/>
    <x v="8"/>
    <x v="12"/>
    <n v="40.299999999999997"/>
    <n v="161.19999999999999"/>
    <x v="6"/>
    <d v="2025-01-12T00:00:00"/>
    <s v="F"/>
    <x v="2"/>
    <x v="0"/>
    <s v="California"/>
    <s v="San Bernardino County"/>
    <x v="0"/>
    <x v="1"/>
    <x v="2"/>
  </r>
  <r>
    <s v="TX500160"/>
    <x v="6"/>
    <x v="9"/>
    <n v="51.8"/>
    <n v="259"/>
    <x v="6"/>
    <d v="2025-01-08T00:00:00"/>
    <s v="M"/>
    <x v="2"/>
    <x v="2"/>
    <s v="California"/>
    <s v="San Diego County"/>
    <x v="3"/>
    <x v="1"/>
    <x v="1"/>
  </r>
  <r>
    <s v="TX500161"/>
    <x v="6"/>
    <x v="2"/>
    <n v="61.3"/>
    <n v="183.89999999999998"/>
    <x v="6"/>
    <d v="2025-01-08T00:00:00"/>
    <s v="F"/>
    <x v="3"/>
    <x v="0"/>
    <s v="California"/>
    <s v="San Diego County"/>
    <x v="3"/>
    <x v="1"/>
    <x v="2"/>
  </r>
  <r>
    <s v="TX500162"/>
    <x v="2"/>
    <x v="12"/>
    <n v="122.5"/>
    <n v="490"/>
    <x v="6"/>
    <d v="2025-01-08T00:00:00"/>
    <s v="M"/>
    <x v="0"/>
    <x v="0"/>
    <s v="California"/>
    <s v="San Diego County"/>
    <x v="3"/>
    <x v="1"/>
    <x v="1"/>
  </r>
  <r>
    <s v="TX500163"/>
    <x v="0"/>
    <x v="11"/>
    <n v="12.5"/>
    <n v="112.5"/>
    <x v="6"/>
    <d v="2025-01-08T00:00:00"/>
    <s v=""/>
    <x v="1"/>
    <x v="2"/>
    <s v="California"/>
    <s v="San Diego County"/>
    <x v="3"/>
    <x v="1"/>
    <x v="0"/>
  </r>
  <r>
    <s v="TX500164"/>
    <x v="15"/>
    <x v="8"/>
    <n v="37.5"/>
    <n v="300"/>
    <x v="6"/>
    <d v="2025-01-08T00:00:00"/>
    <s v="F"/>
    <x v="0"/>
    <x v="0"/>
    <s v="California"/>
    <s v="San Mateo County"/>
    <x v="3"/>
    <x v="1"/>
    <x v="2"/>
  </r>
  <r>
    <s v="TX500165"/>
    <x v="6"/>
    <x v="2"/>
    <n v="40"/>
    <n v="120"/>
    <x v="6"/>
    <d v="2025-01-10T00:00:00"/>
    <s v="M"/>
    <x v="0"/>
    <x v="4"/>
    <s v="California"/>
    <s v="Santa Clara County"/>
    <x v="2"/>
    <x v="1"/>
    <x v="1"/>
  </r>
  <r>
    <s v="TX500166"/>
    <x v="17"/>
    <x v="8"/>
    <n v="38.5"/>
    <n v="308"/>
    <x v="6"/>
    <d v="2025-01-12T00:00:00"/>
    <s v="F"/>
    <x v="2"/>
    <x v="1"/>
    <s v="California"/>
    <s v="Santa Clara County"/>
    <x v="0"/>
    <x v="1"/>
    <x v="2"/>
  </r>
  <r>
    <s v="TX500167"/>
    <x v="2"/>
    <x v="1"/>
    <n v="86.4"/>
    <n v="172.8"/>
    <x v="6"/>
    <d v="2025-01-09T00:00:00"/>
    <s v="F"/>
    <x v="0"/>
    <x v="0"/>
    <s v="California"/>
    <s v="Sonoma County"/>
    <x v="1"/>
    <x v="1"/>
    <x v="2"/>
  </r>
  <r>
    <s v="TX500168"/>
    <x v="10"/>
    <x v="0"/>
    <n v="50.7"/>
    <n v="50.7"/>
    <x v="6"/>
    <d v="2025-01-11T00:00:00"/>
    <s v="F"/>
    <x v="1"/>
    <x v="0"/>
    <s v="California"/>
    <s v="Sonoma County"/>
    <x v="5"/>
    <x v="1"/>
    <x v="2"/>
  </r>
  <r>
    <s v="TX500169"/>
    <x v="10"/>
    <x v="1"/>
    <n v="61"/>
    <n v="122"/>
    <x v="6"/>
    <d v="2025-01-18T00:00:00"/>
    <s v="F"/>
    <x v="4"/>
    <x v="1"/>
    <s v="California"/>
    <s v="Sonoma County"/>
    <x v="11"/>
    <x v="1"/>
    <x v="2"/>
  </r>
  <r>
    <s v="TX500170"/>
    <x v="4"/>
    <x v="1"/>
    <n v="19.899999999999999"/>
    <n v="39.799999999999997"/>
    <x v="6"/>
    <d v="2025-01-10T00:00:00"/>
    <s v="F"/>
    <x v="1"/>
    <x v="0"/>
    <s v="California"/>
    <s v="Yolo County"/>
    <x v="2"/>
    <x v="1"/>
    <x v="2"/>
  </r>
  <r>
    <s v="TX500171"/>
    <x v="5"/>
    <x v="0"/>
    <n v="78.3"/>
    <n v="78.3"/>
    <x v="6"/>
    <d v="2025-01-07T00:00:00"/>
    <s v="F"/>
    <x v="0"/>
    <x v="2"/>
    <s v="California"/>
    <s v="Contra Costa County"/>
    <x v="7"/>
    <x v="1"/>
    <x v="2"/>
  </r>
  <r>
    <s v="TX500172"/>
    <x v="0"/>
    <x v="10"/>
    <n v="10.4"/>
    <n v="197.6"/>
    <x v="6"/>
    <d v="2025-01-09T00:00:00"/>
    <s v="M"/>
    <x v="0"/>
    <x v="2"/>
    <s v="California"/>
    <s v="Fresno County"/>
    <x v="1"/>
    <x v="1"/>
    <x v="1"/>
  </r>
  <r>
    <s v="TX500173"/>
    <x v="10"/>
    <x v="0"/>
    <n v="36.1"/>
    <n v="36.1"/>
    <x v="6"/>
    <d v="2025-01-10T00:00:00"/>
    <s v="M"/>
    <x v="3"/>
    <x v="2"/>
    <s v="California"/>
    <s v="Los Angeles County"/>
    <x v="2"/>
    <x v="1"/>
    <x v="1"/>
  </r>
  <r>
    <s v="TX500174"/>
    <x v="14"/>
    <x v="1"/>
    <n v="17.3"/>
    <n v="34.6"/>
    <x v="6"/>
    <d v="2025-01-09T00:00:00"/>
    <s v="F"/>
    <x v="1"/>
    <x v="2"/>
    <s v="California"/>
    <s v="Los Angeles County"/>
    <x v="1"/>
    <x v="1"/>
    <x v="2"/>
  </r>
  <r>
    <s v="TX500175"/>
    <x v="10"/>
    <x v="1"/>
    <n v="30.5"/>
    <n v="61"/>
    <x v="6"/>
    <d v="2025-01-08T00:00:00"/>
    <s v="F"/>
    <x v="1"/>
    <x v="2"/>
    <s v="California"/>
    <s v="Los Angeles County"/>
    <x v="3"/>
    <x v="1"/>
    <x v="2"/>
  </r>
  <r>
    <s v="TX500176"/>
    <x v="18"/>
    <x v="22"/>
    <n v="70.099999999999994"/>
    <n v="4346.2"/>
    <x v="6"/>
    <d v="2025-01-07T00:00:00"/>
    <s v="F"/>
    <x v="2"/>
    <x v="0"/>
    <s v="California"/>
    <s v="Los Angeles County"/>
    <x v="7"/>
    <x v="1"/>
    <x v="2"/>
  </r>
  <r>
    <s v="TX500177"/>
    <x v="3"/>
    <x v="0"/>
    <n v="76.099999999999994"/>
    <n v="76.099999999999994"/>
    <x v="6"/>
    <d v="2025-01-07T00:00:00"/>
    <s v="F"/>
    <x v="2"/>
    <x v="1"/>
    <s v="California"/>
    <s v="Los Angeles County"/>
    <x v="7"/>
    <x v="1"/>
    <x v="2"/>
  </r>
  <r>
    <s v="TX500178"/>
    <x v="15"/>
    <x v="15"/>
    <n v="34.200000000000003"/>
    <n v="444.6"/>
    <x v="6"/>
    <d v="2025-01-08T00:00:00"/>
    <s v="M"/>
    <x v="0"/>
    <x v="0"/>
    <s v="California"/>
    <s v="Los Angeles County"/>
    <x v="3"/>
    <x v="1"/>
    <x v="1"/>
  </r>
  <r>
    <s v="TX500179"/>
    <x v="8"/>
    <x v="9"/>
    <n v="30.3"/>
    <n v="151.5"/>
    <x v="6"/>
    <d v="2025-01-12T00:00:00"/>
    <s v="F"/>
    <x v="4"/>
    <x v="0"/>
    <s v="California"/>
    <s v="Los Angeles County"/>
    <x v="0"/>
    <x v="1"/>
    <x v="2"/>
  </r>
  <r>
    <s v="TX500180"/>
    <x v="6"/>
    <x v="9"/>
    <n v="52.5"/>
    <n v="262.5"/>
    <x v="6"/>
    <d v="2025-01-11T00:00:00"/>
    <s v=""/>
    <x v="3"/>
    <x v="0"/>
    <s v="California"/>
    <s v="Los Angeles County"/>
    <x v="5"/>
    <x v="1"/>
    <x v="0"/>
  </r>
  <r>
    <s v="TX500181"/>
    <x v="9"/>
    <x v="5"/>
    <n v="28.7"/>
    <n v="315.7"/>
    <x v="6"/>
    <d v="2025-01-08T00:00:00"/>
    <s v="F"/>
    <x v="2"/>
    <x v="0"/>
    <s v="California"/>
    <s v="Los Angeles County"/>
    <x v="3"/>
    <x v="1"/>
    <x v="2"/>
  </r>
  <r>
    <s v="TX500182"/>
    <x v="7"/>
    <x v="3"/>
    <n v="52"/>
    <n v="364"/>
    <x v="6"/>
    <d v="2025-01-08T00:00:00"/>
    <s v="M"/>
    <x v="1"/>
    <x v="4"/>
    <s v="California"/>
    <s v="Los Angeles County"/>
    <x v="3"/>
    <x v="1"/>
    <x v="1"/>
  </r>
  <r>
    <s v="TX500183"/>
    <x v="0"/>
    <x v="0"/>
    <n v="13.3"/>
    <n v="13.3"/>
    <x v="7"/>
    <d v="2025-01-12T00:00:00"/>
    <s v="F"/>
    <x v="2"/>
    <x v="1"/>
    <s v="California"/>
    <s v="Los Angeles County"/>
    <x v="5"/>
    <x v="1"/>
    <x v="2"/>
  </r>
  <r>
    <s v="TX500184"/>
    <x v="0"/>
    <x v="2"/>
    <n v="15.7"/>
    <n v="47.099999999999994"/>
    <x v="7"/>
    <d v="2025-01-09T00:00:00"/>
    <s v="F"/>
    <x v="1"/>
    <x v="0"/>
    <s v="California"/>
    <s v="Mendocino County"/>
    <x v="3"/>
    <x v="1"/>
    <x v="2"/>
  </r>
  <r>
    <s v="TX500185"/>
    <x v="8"/>
    <x v="1"/>
    <n v="25.6"/>
    <n v="51.2"/>
    <x v="7"/>
    <d v="2025-01-09T00:00:00"/>
    <s v="M"/>
    <x v="0"/>
    <x v="2"/>
    <s v="California"/>
    <s v="Riverside County"/>
    <x v="3"/>
    <x v="1"/>
    <x v="1"/>
  </r>
  <r>
    <s v="TX500186"/>
    <x v="8"/>
    <x v="0"/>
    <n v="43.4"/>
    <n v="43.4"/>
    <x v="7"/>
    <d v="2025-01-13T00:00:00"/>
    <s v="M"/>
    <x v="0"/>
    <x v="0"/>
    <s v="California"/>
    <s v="Sacramento County"/>
    <x v="0"/>
    <x v="1"/>
    <x v="1"/>
  </r>
  <r>
    <s v="TX500187"/>
    <x v="11"/>
    <x v="11"/>
    <n v="33.4"/>
    <n v="300.59999999999997"/>
    <x v="7"/>
    <d v="2025-01-08T00:00:00"/>
    <s v="F"/>
    <x v="0"/>
    <x v="0"/>
    <s v="California"/>
    <s v="San Diego County"/>
    <x v="7"/>
    <x v="1"/>
    <x v="2"/>
  </r>
  <r>
    <s v="TX500188"/>
    <x v="8"/>
    <x v="10"/>
    <n v="55"/>
    <n v="1045"/>
    <x v="7"/>
    <d v="2025-01-09T00:00:00"/>
    <s v="F"/>
    <x v="1"/>
    <x v="2"/>
    <s v="California"/>
    <s v="San Diego County"/>
    <x v="3"/>
    <x v="1"/>
    <x v="2"/>
  </r>
  <r>
    <s v="TX500189"/>
    <x v="8"/>
    <x v="2"/>
    <n v="23.6"/>
    <n v="70.800000000000011"/>
    <x v="7"/>
    <d v="2025-01-09T00:00:00"/>
    <s v="M"/>
    <x v="0"/>
    <x v="2"/>
    <s v="California"/>
    <s v="San Diego County"/>
    <x v="3"/>
    <x v="1"/>
    <x v="1"/>
  </r>
  <r>
    <s v="TX500190"/>
    <x v="12"/>
    <x v="11"/>
    <n v="104"/>
    <n v="936"/>
    <x v="7"/>
    <d v="2025-01-10T00:00:00"/>
    <s v="F"/>
    <x v="2"/>
    <x v="2"/>
    <s v="California"/>
    <s v="San Francisco"/>
    <x v="1"/>
    <x v="1"/>
    <x v="2"/>
  </r>
  <r>
    <s v="TX500191"/>
    <x v="6"/>
    <x v="1"/>
    <n v="51.8"/>
    <n v="103.6"/>
    <x v="7"/>
    <d v="2025-01-12T00:00:00"/>
    <s v=""/>
    <x v="0"/>
    <x v="2"/>
    <s v="California"/>
    <s v="Santa Barbara County"/>
    <x v="5"/>
    <x v="1"/>
    <x v="0"/>
  </r>
  <r>
    <s v="TX500192"/>
    <x v="10"/>
    <x v="9"/>
    <n v="34.5"/>
    <n v="172.5"/>
    <x v="7"/>
    <d v="2025-01-10T00:00:00"/>
    <s v=""/>
    <x v="2"/>
    <x v="2"/>
    <s v="California"/>
    <s v="Santa Clara County"/>
    <x v="1"/>
    <x v="1"/>
    <x v="0"/>
  </r>
  <r>
    <s v="TX500193"/>
    <x v="6"/>
    <x v="1"/>
    <n v="51.8"/>
    <n v="103.6"/>
    <x v="7"/>
    <d v="2025-01-10T00:00:00"/>
    <s v="M"/>
    <x v="1"/>
    <x v="2"/>
    <s v="California"/>
    <s v="Siskiyou County"/>
    <x v="1"/>
    <x v="1"/>
    <x v="1"/>
  </r>
  <r>
    <s v="TX500194"/>
    <x v="18"/>
    <x v="23"/>
    <n v="131.5"/>
    <n v="5654.5"/>
    <x v="7"/>
    <d v="2025-01-09T00:00:00"/>
    <s v="F"/>
    <x v="0"/>
    <x v="2"/>
    <s v="California"/>
    <s v="Sonoma County"/>
    <x v="3"/>
    <x v="1"/>
    <x v="2"/>
  </r>
  <r>
    <s v="TX500195"/>
    <x v="8"/>
    <x v="3"/>
    <n v="47.8"/>
    <n v="334.59999999999997"/>
    <x v="7"/>
    <d v="2025-01-08T00:00:00"/>
    <s v="F"/>
    <x v="0"/>
    <x v="0"/>
    <s v="California"/>
    <s v="Stanislaus County"/>
    <x v="7"/>
    <x v="1"/>
    <x v="2"/>
  </r>
  <r>
    <s v="TX500196"/>
    <x v="0"/>
    <x v="1"/>
    <n v="10.199999999999999"/>
    <n v="20.399999999999999"/>
    <x v="7"/>
    <d v="2025-01-10T00:00:00"/>
    <s v="F"/>
    <x v="0"/>
    <x v="0"/>
    <s v="California"/>
    <s v="Stanislaus County"/>
    <x v="1"/>
    <x v="1"/>
    <x v="2"/>
  </r>
  <r>
    <s v="TX500197"/>
    <x v="8"/>
    <x v="8"/>
    <n v="41"/>
    <n v="328"/>
    <x v="7"/>
    <d v="2025-01-08T00:00:00"/>
    <s v="F"/>
    <x v="1"/>
    <x v="2"/>
    <s v="California"/>
    <s v="Stanislaus County"/>
    <x v="7"/>
    <x v="1"/>
    <x v="2"/>
  </r>
  <r>
    <s v="TX500198"/>
    <x v="10"/>
    <x v="3"/>
    <n v="50.8"/>
    <n v="355.59999999999997"/>
    <x v="7"/>
    <d v="2025-01-11T00:00:00"/>
    <s v="F"/>
    <x v="1"/>
    <x v="0"/>
    <s v="California"/>
    <s v="Alameda County"/>
    <x v="2"/>
    <x v="1"/>
    <x v="2"/>
  </r>
  <r>
    <s v="TX500199"/>
    <x v="18"/>
    <x v="2"/>
    <n v="39.6"/>
    <n v="118.80000000000001"/>
    <x v="7"/>
    <d v="2025-01-09T00:00:00"/>
    <s v="M"/>
    <x v="2"/>
    <x v="2"/>
    <s v="California"/>
    <s v="Contra Costa County"/>
    <x v="3"/>
    <x v="1"/>
    <x v="1"/>
  </r>
  <r>
    <s v="TX500200"/>
    <x v="5"/>
    <x v="1"/>
    <n v="69.5"/>
    <n v="139"/>
    <x v="7"/>
    <d v="2025-01-10T00:00:00"/>
    <s v="M"/>
    <x v="0"/>
    <x v="2"/>
    <s v="California"/>
    <s v="Fresno County"/>
    <x v="1"/>
    <x v="1"/>
    <x v="1"/>
  </r>
  <r>
    <s v="TX500201"/>
    <x v="8"/>
    <x v="8"/>
    <n v="32.6"/>
    <n v="260.8"/>
    <x v="7"/>
    <d v="2025-01-11T00:00:00"/>
    <s v="M"/>
    <x v="1"/>
    <x v="0"/>
    <s v="California"/>
    <s v="Los Angeles County"/>
    <x v="2"/>
    <x v="1"/>
    <x v="1"/>
  </r>
  <r>
    <s v="TX500202"/>
    <x v="7"/>
    <x v="1"/>
    <n v="49.1"/>
    <n v="98.2"/>
    <x v="7"/>
    <d v="2025-01-16T00:00:00"/>
    <s v="M"/>
    <x v="3"/>
    <x v="2"/>
    <s v="California"/>
    <s v="Los Angeles County"/>
    <x v="9"/>
    <x v="1"/>
    <x v="1"/>
  </r>
  <r>
    <s v="TX500203"/>
    <x v="6"/>
    <x v="1"/>
    <n v="49.4"/>
    <n v="98.8"/>
    <x v="8"/>
    <d v="2025-01-10T00:00:00"/>
    <s v="F"/>
    <x v="2"/>
    <x v="0"/>
    <s v="California"/>
    <s v="Los Angeles County"/>
    <x v="3"/>
    <x v="1"/>
    <x v="2"/>
  </r>
  <r>
    <s v="TX500204"/>
    <x v="7"/>
    <x v="3"/>
    <n v="65.099999999999994"/>
    <n v="455.69999999999993"/>
    <x v="8"/>
    <d v="2025-01-12T00:00:00"/>
    <s v="F"/>
    <x v="2"/>
    <x v="2"/>
    <s v="California"/>
    <s v="Los Angeles County"/>
    <x v="2"/>
    <x v="1"/>
    <x v="2"/>
  </r>
  <r>
    <s v="TX500205"/>
    <x v="3"/>
    <x v="1"/>
    <n v="52.1"/>
    <n v="104.2"/>
    <x v="8"/>
    <d v="2025-01-13T00:00:00"/>
    <s v="F"/>
    <x v="2"/>
    <x v="0"/>
    <s v="California"/>
    <s v="Los Angeles County"/>
    <x v="5"/>
    <x v="1"/>
    <x v="2"/>
  </r>
  <r>
    <s v="TX500206"/>
    <x v="2"/>
    <x v="12"/>
    <n v="129.19999999999999"/>
    <n v="516.79999999999995"/>
    <x v="8"/>
    <d v="2025-01-10T00:00:00"/>
    <s v="F"/>
    <x v="1"/>
    <x v="0"/>
    <s v="California"/>
    <s v="Los Angeles County"/>
    <x v="3"/>
    <x v="1"/>
    <x v="2"/>
  </r>
  <r>
    <s v="TX500207"/>
    <x v="1"/>
    <x v="10"/>
    <n v="81.8"/>
    <n v="1554.2"/>
    <x v="8"/>
    <d v="2025-01-09T00:00:00"/>
    <s v="F"/>
    <x v="1"/>
    <x v="1"/>
    <s v="California"/>
    <s v="Los Angeles County"/>
    <x v="7"/>
    <x v="1"/>
    <x v="2"/>
  </r>
  <r>
    <s v="TX500208"/>
    <x v="17"/>
    <x v="0"/>
    <n v="24.9"/>
    <n v="24.9"/>
    <x v="8"/>
    <d v="2025-01-13T00:00:00"/>
    <s v="F"/>
    <x v="1"/>
    <x v="0"/>
    <s v="California"/>
    <s v="Los Angeles County"/>
    <x v="5"/>
    <x v="1"/>
    <x v="2"/>
  </r>
  <r>
    <s v="TX500209"/>
    <x v="0"/>
    <x v="2"/>
    <n v="49.4"/>
    <n v="148.19999999999999"/>
    <x v="8"/>
    <d v="2025-01-12T00:00:00"/>
    <s v="F"/>
    <x v="4"/>
    <x v="4"/>
    <s v="California"/>
    <s v="Los Angeles County"/>
    <x v="2"/>
    <x v="1"/>
    <x v="2"/>
  </r>
  <r>
    <s v="TX500210"/>
    <x v="8"/>
    <x v="1"/>
    <n v="22.7"/>
    <n v="45.4"/>
    <x v="8"/>
    <d v="2025-01-10T00:00:00"/>
    <s v="M"/>
    <x v="3"/>
    <x v="2"/>
    <s v="California"/>
    <s v="Los Angeles County"/>
    <x v="3"/>
    <x v="1"/>
    <x v="1"/>
  </r>
  <r>
    <s v="TX500211"/>
    <x v="1"/>
    <x v="0"/>
    <n v="77.3"/>
    <n v="77.3"/>
    <x v="8"/>
    <d v="2025-01-09T00:00:00"/>
    <s v="F"/>
    <x v="0"/>
    <x v="2"/>
    <s v="California"/>
    <s v="Sacramento County"/>
    <x v="7"/>
    <x v="1"/>
    <x v="2"/>
  </r>
  <r>
    <s v="TX500212"/>
    <x v="1"/>
    <x v="9"/>
    <n v="109.1"/>
    <n v="545.5"/>
    <x v="8"/>
    <d v="2025-01-12T00:00:00"/>
    <s v="F"/>
    <x v="0"/>
    <x v="0"/>
    <s v="California"/>
    <s v="Sacramento County"/>
    <x v="2"/>
    <x v="1"/>
    <x v="2"/>
  </r>
  <r>
    <s v="TX500213"/>
    <x v="2"/>
    <x v="12"/>
    <n v="53.9"/>
    <n v="215.6"/>
    <x v="8"/>
    <d v="2025-01-10T00:00:00"/>
    <s v="M"/>
    <x v="0"/>
    <x v="1"/>
    <s v="California"/>
    <s v="San Diego County"/>
    <x v="3"/>
    <x v="1"/>
    <x v="1"/>
  </r>
  <r>
    <s v="TX500214"/>
    <x v="9"/>
    <x v="18"/>
    <n v="21.2"/>
    <n v="551.19999999999993"/>
    <x v="8"/>
    <d v="2025-01-09T00:00:00"/>
    <s v="F"/>
    <x v="0"/>
    <x v="0"/>
    <s v="California"/>
    <s v="San Mateo County"/>
    <x v="7"/>
    <x v="1"/>
    <x v="2"/>
  </r>
  <r>
    <s v="TX500215"/>
    <x v="16"/>
    <x v="12"/>
    <n v="69"/>
    <n v="276"/>
    <x v="8"/>
    <d v="2025-01-11T00:00:00"/>
    <s v="F"/>
    <x v="1"/>
    <x v="1"/>
    <s v="California"/>
    <s v="Sonoma County"/>
    <x v="1"/>
    <x v="1"/>
    <x v="2"/>
  </r>
  <r>
    <s v="TX500216"/>
    <x v="6"/>
    <x v="2"/>
    <n v="46.2"/>
    <n v="138.60000000000002"/>
    <x v="8"/>
    <d v="2025-01-11T00:00:00"/>
    <s v="F"/>
    <x v="0"/>
    <x v="2"/>
    <s v="California"/>
    <s v="Sutter County"/>
    <x v="1"/>
    <x v="1"/>
    <x v="2"/>
  </r>
  <r>
    <s v="TX500217"/>
    <x v="1"/>
    <x v="9"/>
    <n v="97.4"/>
    <n v="487"/>
    <x v="8"/>
    <d v="2025-01-13T00:00:00"/>
    <s v="F"/>
    <x v="4"/>
    <x v="2"/>
    <s v="California"/>
    <s v="Alameda County"/>
    <x v="5"/>
    <x v="1"/>
    <x v="2"/>
  </r>
  <r>
    <s v="TX500218"/>
    <x v="8"/>
    <x v="9"/>
    <n v="21"/>
    <n v="105"/>
    <x v="8"/>
    <d v="2025-01-10T00:00:00"/>
    <s v="M"/>
    <x v="0"/>
    <x v="1"/>
    <s v="California"/>
    <s v="Alameda County"/>
    <x v="3"/>
    <x v="1"/>
    <x v="1"/>
  </r>
  <r>
    <s v="TX500219"/>
    <x v="5"/>
    <x v="1"/>
    <n v="32.700000000000003"/>
    <n v="65.400000000000006"/>
    <x v="9"/>
    <d v="2025-01-13T00:00:00"/>
    <s v="F"/>
    <x v="1"/>
    <x v="0"/>
    <s v="California"/>
    <s v="Fresno County"/>
    <x v="2"/>
    <x v="1"/>
    <x v="2"/>
  </r>
  <r>
    <s v="TX500220"/>
    <x v="6"/>
    <x v="12"/>
    <n v="48"/>
    <n v="192"/>
    <x v="9"/>
    <d v="2025-01-11T00:00:00"/>
    <s v="M"/>
    <x v="3"/>
    <x v="0"/>
    <s v="California"/>
    <s v="Los Angeles County"/>
    <x v="3"/>
    <x v="1"/>
    <x v="1"/>
  </r>
  <r>
    <s v="TX500221"/>
    <x v="6"/>
    <x v="2"/>
    <n v="68.2"/>
    <n v="204.60000000000002"/>
    <x v="9"/>
    <d v="2025-01-14T00:00:00"/>
    <s v=""/>
    <x v="0"/>
    <x v="2"/>
    <s v="California"/>
    <s v="Los Angeles County"/>
    <x v="5"/>
    <x v="1"/>
    <x v="0"/>
  </r>
  <r>
    <s v="TX500222"/>
    <x v="5"/>
    <x v="0"/>
    <n v="45.4"/>
    <n v="45.4"/>
    <x v="9"/>
    <d v="2025-01-12T00:00:00"/>
    <s v="M"/>
    <x v="1"/>
    <x v="0"/>
    <s v="California"/>
    <s v="Los Angeles County"/>
    <x v="1"/>
    <x v="1"/>
    <x v="1"/>
  </r>
  <r>
    <s v="TX500223"/>
    <x v="12"/>
    <x v="1"/>
    <n v="53.9"/>
    <n v="107.8"/>
    <x v="9"/>
    <d v="2025-01-11T00:00:00"/>
    <s v="F"/>
    <x v="2"/>
    <x v="0"/>
    <s v="California"/>
    <s v="Los Angeles County"/>
    <x v="3"/>
    <x v="1"/>
    <x v="2"/>
  </r>
  <r>
    <s v="TX500224"/>
    <x v="2"/>
    <x v="12"/>
    <n v="62.1"/>
    <n v="248.4"/>
    <x v="9"/>
    <d v="2025-01-14T00:00:00"/>
    <s v="F"/>
    <x v="0"/>
    <x v="0"/>
    <s v="California"/>
    <s v="Nevada County"/>
    <x v="5"/>
    <x v="1"/>
    <x v="2"/>
  </r>
  <r>
    <s v="TX500225"/>
    <x v="13"/>
    <x v="3"/>
    <n v="33.1"/>
    <n v="231.70000000000002"/>
    <x v="9"/>
    <d v="2025-01-15T00:00:00"/>
    <s v="M"/>
    <x v="1"/>
    <x v="0"/>
    <s v="California"/>
    <s v="Sacramento County"/>
    <x v="0"/>
    <x v="1"/>
    <x v="1"/>
  </r>
  <r>
    <s v="TX500226"/>
    <x v="18"/>
    <x v="9"/>
    <n v="35.200000000000003"/>
    <n v="176"/>
    <x v="9"/>
    <d v="2025-01-10T00:00:00"/>
    <s v="F"/>
    <x v="1"/>
    <x v="0"/>
    <s v="California"/>
    <s v="Sacramento County"/>
    <x v="7"/>
    <x v="1"/>
    <x v="2"/>
  </r>
  <r>
    <s v="TX500227"/>
    <x v="9"/>
    <x v="2"/>
    <n v="32.1"/>
    <n v="96.300000000000011"/>
    <x v="9"/>
    <d v="2025-01-15T00:00:00"/>
    <s v="M"/>
    <x v="3"/>
    <x v="0"/>
    <s v="California"/>
    <s v="San Diego County"/>
    <x v="0"/>
    <x v="1"/>
    <x v="1"/>
  </r>
  <r>
    <s v="TX500228"/>
    <x v="11"/>
    <x v="0"/>
    <n v="38.1"/>
    <n v="38.1"/>
    <x v="9"/>
    <d v="2025-01-15T00:00:00"/>
    <s v="F"/>
    <x v="0"/>
    <x v="2"/>
    <s v="California"/>
    <s v="San Diego County"/>
    <x v="0"/>
    <x v="1"/>
    <x v="2"/>
  </r>
  <r>
    <s v="TX500229"/>
    <x v="8"/>
    <x v="0"/>
    <n v="65.2"/>
    <n v="65.2"/>
    <x v="9"/>
    <d v="2025-01-15T00:00:00"/>
    <s v="F"/>
    <x v="3"/>
    <x v="1"/>
    <s v="California"/>
    <s v="San Diego County"/>
    <x v="0"/>
    <x v="1"/>
    <x v="2"/>
  </r>
  <r>
    <s v="TX500230"/>
    <x v="10"/>
    <x v="3"/>
    <n v="55.2"/>
    <n v="386.40000000000003"/>
    <x v="9"/>
    <d v="2025-01-11T00:00:00"/>
    <s v="M"/>
    <x v="2"/>
    <x v="0"/>
    <s v="California"/>
    <s v="Santa Clara County"/>
    <x v="3"/>
    <x v="1"/>
    <x v="1"/>
  </r>
  <r>
    <s v="TX500231"/>
    <x v="6"/>
    <x v="0"/>
    <n v="62"/>
    <n v="62"/>
    <x v="9"/>
    <d v="2025-01-14T00:00:00"/>
    <s v="F"/>
    <x v="0"/>
    <x v="0"/>
    <s v="California"/>
    <s v="Santa Clara County"/>
    <x v="5"/>
    <x v="1"/>
    <x v="2"/>
  </r>
  <r>
    <s v="TX500232"/>
    <x v="7"/>
    <x v="2"/>
    <n v="45.9"/>
    <n v="137.69999999999999"/>
    <x v="9"/>
    <d v="2025-01-11T00:00:00"/>
    <s v="F"/>
    <x v="2"/>
    <x v="0"/>
    <s v="California"/>
    <s v="Santa Cruz County"/>
    <x v="3"/>
    <x v="1"/>
    <x v="2"/>
  </r>
  <r>
    <s v="TX500233"/>
    <x v="18"/>
    <x v="2"/>
    <n v="58.3"/>
    <n v="174.89999999999998"/>
    <x v="9"/>
    <d v="2025-01-10T00:00:00"/>
    <s v="M"/>
    <x v="1"/>
    <x v="1"/>
    <s v="California"/>
    <s v="Sonoma County"/>
    <x v="7"/>
    <x v="1"/>
    <x v="1"/>
  </r>
  <r>
    <s v="TX500234"/>
    <x v="8"/>
    <x v="1"/>
    <n v="22.3"/>
    <n v="44.6"/>
    <x v="9"/>
    <d v="2025-01-13T00:00:00"/>
    <s v="F"/>
    <x v="0"/>
    <x v="2"/>
    <s v="California"/>
    <s v="Tulare County"/>
    <x v="2"/>
    <x v="1"/>
    <x v="2"/>
  </r>
  <r>
    <s v="TX500235"/>
    <x v="19"/>
    <x v="9"/>
    <n v="24"/>
    <n v="120"/>
    <x v="9"/>
    <d v="2025-01-11T00:00:00"/>
    <s v="M"/>
    <x v="4"/>
    <x v="0"/>
    <s v="California"/>
    <s v="Contra Costa County"/>
    <x v="3"/>
    <x v="1"/>
    <x v="1"/>
  </r>
  <r>
    <s v="TX500236"/>
    <x v="0"/>
    <x v="7"/>
    <n v="21.3"/>
    <n v="213"/>
    <x v="9"/>
    <d v="2025-01-10T00:00:00"/>
    <s v="F"/>
    <x v="1"/>
    <x v="2"/>
    <s v="California"/>
    <s v="Kern County"/>
    <x v="7"/>
    <x v="1"/>
    <x v="2"/>
  </r>
  <r>
    <s v="TX500237"/>
    <x v="6"/>
    <x v="24"/>
    <n v="57.8"/>
    <n v="2369.7999999999997"/>
    <x v="9"/>
    <d v="2025-01-12T00:00:00"/>
    <s v="F"/>
    <x v="0"/>
    <x v="2"/>
    <s v="California"/>
    <s v="Los Angeles County"/>
    <x v="1"/>
    <x v="1"/>
    <x v="2"/>
  </r>
  <r>
    <s v="TX500238"/>
    <x v="10"/>
    <x v="2"/>
    <n v="67.599999999999994"/>
    <n v="202.79999999999998"/>
    <x v="9"/>
    <d v="2025-01-11T00:00:00"/>
    <s v="F"/>
    <x v="0"/>
    <x v="0"/>
    <s v="California"/>
    <s v="Los Angeles County"/>
    <x v="3"/>
    <x v="1"/>
    <x v="2"/>
  </r>
  <r>
    <s v="TX500239"/>
    <x v="6"/>
    <x v="13"/>
    <n v="66.7"/>
    <n v="400.20000000000005"/>
    <x v="9"/>
    <d v="2025-01-14T00:00:00"/>
    <s v="M"/>
    <x v="4"/>
    <x v="1"/>
    <s v="California"/>
    <s v="Los Angeles County"/>
    <x v="5"/>
    <x v="1"/>
    <x v="1"/>
  </r>
  <r>
    <s v="TX500240"/>
    <x v="1"/>
    <x v="12"/>
    <n v="53.1"/>
    <n v="212.4"/>
    <x v="9"/>
    <d v="2025-01-12T00:00:00"/>
    <s v="F"/>
    <x v="1"/>
    <x v="0"/>
    <s v="California"/>
    <s v="Los Angeles County"/>
    <x v="1"/>
    <x v="1"/>
    <x v="2"/>
  </r>
  <r>
    <s v="TX500241"/>
    <x v="12"/>
    <x v="2"/>
    <n v="57.4"/>
    <n v="172.2"/>
    <x v="9"/>
    <d v="2025-01-13T00:00:00"/>
    <s v="F"/>
    <x v="0"/>
    <x v="2"/>
    <s v="California"/>
    <s v="Mendocino County"/>
    <x v="2"/>
    <x v="1"/>
    <x v="2"/>
  </r>
  <r>
    <s v="TX500242"/>
    <x v="2"/>
    <x v="9"/>
    <n v="58.1"/>
    <n v="290.5"/>
    <x v="9"/>
    <d v="2025-01-10T00:00:00"/>
    <s v="M"/>
    <x v="2"/>
    <x v="2"/>
    <s v="California"/>
    <s v="Sacramento County"/>
    <x v="7"/>
    <x v="1"/>
    <x v="1"/>
  </r>
  <r>
    <s v="TX500243"/>
    <x v="5"/>
    <x v="2"/>
    <n v="31.8"/>
    <n v="95.4"/>
    <x v="10"/>
    <d v="2025-01-13T00:00:00"/>
    <s v="M"/>
    <x v="3"/>
    <x v="0"/>
    <s v="California"/>
    <s v="Sacramento County"/>
    <x v="1"/>
    <x v="1"/>
    <x v="1"/>
  </r>
  <r>
    <s v="TX500244"/>
    <x v="4"/>
    <x v="2"/>
    <n v="31.5"/>
    <n v="94.5"/>
    <x v="10"/>
    <d v="2025-01-14T00:00:00"/>
    <s v="M"/>
    <x v="0"/>
    <x v="1"/>
    <s v="California"/>
    <s v="San Diego County"/>
    <x v="2"/>
    <x v="1"/>
    <x v="1"/>
  </r>
  <r>
    <s v="TX500245"/>
    <x v="6"/>
    <x v="3"/>
    <n v="55.9"/>
    <n v="391.3"/>
    <x v="10"/>
    <d v="2025-01-15T00:00:00"/>
    <s v="F"/>
    <x v="1"/>
    <x v="2"/>
    <s v="California"/>
    <s v="San Diego County"/>
    <x v="5"/>
    <x v="1"/>
    <x v="2"/>
  </r>
  <r>
    <s v="TX500246"/>
    <x v="8"/>
    <x v="1"/>
    <n v="36.4"/>
    <n v="72.8"/>
    <x v="10"/>
    <d v="2025-01-12T00:00:00"/>
    <s v="M"/>
    <x v="1"/>
    <x v="1"/>
    <s v="California"/>
    <s v="San Mateo County"/>
    <x v="3"/>
    <x v="1"/>
    <x v="1"/>
  </r>
  <r>
    <s v="TX500247"/>
    <x v="1"/>
    <x v="9"/>
    <n v="47.3"/>
    <n v="236.5"/>
    <x v="10"/>
    <d v="2025-01-14T00:00:00"/>
    <s v="M"/>
    <x v="2"/>
    <x v="0"/>
    <s v="California"/>
    <s v="Santa Barbara County"/>
    <x v="2"/>
    <x v="1"/>
    <x v="1"/>
  </r>
  <r>
    <s v="TX500248"/>
    <x v="6"/>
    <x v="2"/>
    <n v="82.5"/>
    <n v="247.5"/>
    <x v="10"/>
    <d v="2025-01-12T00:00:00"/>
    <s v="M"/>
    <x v="0"/>
    <x v="0"/>
    <s v="California"/>
    <s v="Santa Clara County"/>
    <x v="3"/>
    <x v="1"/>
    <x v="1"/>
  </r>
  <r>
    <s v="TX500249"/>
    <x v="0"/>
    <x v="0"/>
    <n v="14.3"/>
    <n v="14.3"/>
    <x v="10"/>
    <d v="2025-01-12T00:00:00"/>
    <s v="F"/>
    <x v="0"/>
    <x v="0"/>
    <s v="California"/>
    <s v="Alameda County"/>
    <x v="3"/>
    <x v="1"/>
    <x v="2"/>
  </r>
  <r>
    <s v="TX500250"/>
    <x v="2"/>
    <x v="13"/>
    <n v="57.6"/>
    <n v="345.6"/>
    <x v="10"/>
    <d v="2025-01-25T00:00:00"/>
    <s v="F"/>
    <x v="0"/>
    <x v="0"/>
    <s v="California"/>
    <s v="Alameda County"/>
    <x v="12"/>
    <x v="1"/>
    <x v="2"/>
  </r>
  <r>
    <s v="TX500251"/>
    <x v="2"/>
    <x v="2"/>
    <n v="142.4"/>
    <n v="427.20000000000005"/>
    <x v="10"/>
    <d v="2025-01-13T00:00:00"/>
    <s v="M"/>
    <x v="4"/>
    <x v="1"/>
    <s v="California"/>
    <s v="Alameda County"/>
    <x v="1"/>
    <x v="1"/>
    <x v="1"/>
  </r>
  <r>
    <s v="TX500252"/>
    <x v="12"/>
    <x v="0"/>
    <n v="30.2"/>
    <n v="30.2"/>
    <x v="10"/>
    <d v="2025-01-15T00:00:00"/>
    <s v="M"/>
    <x v="1"/>
    <x v="2"/>
    <s v="California"/>
    <s v="Fresno County"/>
    <x v="5"/>
    <x v="1"/>
    <x v="1"/>
  </r>
  <r>
    <s v="TX500253"/>
    <x v="18"/>
    <x v="2"/>
    <n v="65.3"/>
    <n v="195.89999999999998"/>
    <x v="10"/>
    <d v="2025-01-12T00:00:00"/>
    <s v="O"/>
    <x v="1"/>
    <x v="0"/>
    <s v="California"/>
    <s v="Imperial County"/>
    <x v="3"/>
    <x v="1"/>
    <x v="3"/>
  </r>
  <r>
    <s v="TX500254"/>
    <x v="0"/>
    <x v="1"/>
    <n v="33.4"/>
    <n v="66.8"/>
    <x v="10"/>
    <d v="2025-01-12T00:00:00"/>
    <s v="M"/>
    <x v="1"/>
    <x v="1"/>
    <s v="California"/>
    <s v="Kern County"/>
    <x v="3"/>
    <x v="1"/>
    <x v="1"/>
  </r>
  <r>
    <s v="TX500255"/>
    <x v="7"/>
    <x v="1"/>
    <n v="45.1"/>
    <n v="90.2"/>
    <x v="10"/>
    <d v="2025-01-19T00:00:00"/>
    <s v="M"/>
    <x v="0"/>
    <x v="0"/>
    <s v="California"/>
    <s v="Kings County"/>
    <x v="9"/>
    <x v="1"/>
    <x v="1"/>
  </r>
  <r>
    <s v="TX500256"/>
    <x v="2"/>
    <x v="3"/>
    <n v="61.7"/>
    <n v="431.90000000000003"/>
    <x v="10"/>
    <d v="2025-01-13T00:00:00"/>
    <s v="F"/>
    <x v="4"/>
    <x v="0"/>
    <s v="California"/>
    <s v="Los Angeles County"/>
    <x v="1"/>
    <x v="1"/>
    <x v="2"/>
  </r>
  <r>
    <s v="TX500257"/>
    <x v="9"/>
    <x v="2"/>
    <n v="45.1"/>
    <n v="135.30000000000001"/>
    <x v="11"/>
    <d v="2025-01-13T00:00:00"/>
    <s v="M"/>
    <x v="4"/>
    <x v="1"/>
    <s v="California"/>
    <s v="Los Angeles County"/>
    <x v="3"/>
    <x v="2"/>
    <x v="1"/>
  </r>
  <r>
    <s v="TX500258"/>
    <x v="15"/>
    <x v="9"/>
    <n v="22.7"/>
    <n v="113.5"/>
    <x v="11"/>
    <d v="2025-01-17T00:00:00"/>
    <s v="M"/>
    <x v="0"/>
    <x v="2"/>
    <s v="California"/>
    <s v="Plumas County"/>
    <x v="0"/>
    <x v="2"/>
    <x v="1"/>
  </r>
  <r>
    <s v="TX500259"/>
    <x v="8"/>
    <x v="0"/>
    <n v="17.600000000000001"/>
    <n v="17.600000000000001"/>
    <x v="11"/>
    <d v="2025-01-13T00:00:00"/>
    <s v="F"/>
    <x v="0"/>
    <x v="2"/>
    <s v="California"/>
    <s v="Riverside County"/>
    <x v="3"/>
    <x v="2"/>
    <x v="2"/>
  </r>
  <r>
    <s v="TX500260"/>
    <x v="14"/>
    <x v="1"/>
    <n v="11.3"/>
    <n v="22.6"/>
    <x v="11"/>
    <d v="2025-01-15T00:00:00"/>
    <s v="F"/>
    <x v="3"/>
    <x v="2"/>
    <s v="California"/>
    <s v="Riverside County"/>
    <x v="2"/>
    <x v="2"/>
    <x v="2"/>
  </r>
  <r>
    <s v="TX500261"/>
    <x v="6"/>
    <x v="2"/>
    <n v="53.4"/>
    <n v="160.19999999999999"/>
    <x v="11"/>
    <d v="2025-01-15T00:00:00"/>
    <s v="M"/>
    <x v="3"/>
    <x v="2"/>
    <s v="California"/>
    <s v="San Benito County"/>
    <x v="2"/>
    <x v="2"/>
    <x v="1"/>
  </r>
  <r>
    <s v="TX500262"/>
    <x v="6"/>
    <x v="5"/>
    <n v="51.1"/>
    <n v="562.1"/>
    <x v="11"/>
    <d v="2025-01-14T00:00:00"/>
    <s v="F"/>
    <x v="2"/>
    <x v="2"/>
    <s v="California"/>
    <s v="San Diego County"/>
    <x v="1"/>
    <x v="2"/>
    <x v="2"/>
  </r>
  <r>
    <s v="TX500263"/>
    <x v="8"/>
    <x v="1"/>
    <n v="27.5"/>
    <n v="55"/>
    <x v="11"/>
    <d v="2025-01-13T00:00:00"/>
    <s v="M"/>
    <x v="4"/>
    <x v="1"/>
    <s v="California"/>
    <s v="San Diego County"/>
    <x v="3"/>
    <x v="2"/>
    <x v="1"/>
  </r>
  <r>
    <s v="TX500264"/>
    <x v="9"/>
    <x v="0"/>
    <n v="33.5"/>
    <n v="33.5"/>
    <x v="11"/>
    <d v="2025-01-14T00:00:00"/>
    <s v="F"/>
    <x v="0"/>
    <x v="4"/>
    <s v="California"/>
    <s v="San Diego County"/>
    <x v="1"/>
    <x v="2"/>
    <x v="2"/>
  </r>
  <r>
    <s v="TX500265"/>
    <x v="4"/>
    <x v="0"/>
    <n v="59.5"/>
    <n v="59.5"/>
    <x v="11"/>
    <d v="2025-01-12T00:00:00"/>
    <s v="M"/>
    <x v="0"/>
    <x v="2"/>
    <s v="California"/>
    <s v="Sonoma County"/>
    <x v="7"/>
    <x v="2"/>
    <x v="1"/>
  </r>
  <r>
    <s v="TX500266"/>
    <x v="17"/>
    <x v="12"/>
    <n v="23.5"/>
    <n v="94"/>
    <x v="11"/>
    <d v="2025-01-13T00:00:00"/>
    <s v="F"/>
    <x v="3"/>
    <x v="3"/>
    <s v="California"/>
    <s v="Stanislaus County"/>
    <x v="3"/>
    <x v="2"/>
    <x v="2"/>
  </r>
  <r>
    <s v="TX500267"/>
    <x v="6"/>
    <x v="0"/>
    <n v="49.7"/>
    <n v="49.7"/>
    <x v="11"/>
    <d v="2025-01-13T00:00:00"/>
    <s v=""/>
    <x v="1"/>
    <x v="2"/>
    <s v="California"/>
    <s v="Tulare County"/>
    <x v="3"/>
    <x v="2"/>
    <x v="0"/>
  </r>
  <r>
    <s v="TX500268"/>
    <x v="6"/>
    <x v="12"/>
    <n v="44.2"/>
    <n v="176.8"/>
    <x v="11"/>
    <d v="2025-01-15T00:00:00"/>
    <s v="F"/>
    <x v="0"/>
    <x v="2"/>
    <s v="California"/>
    <s v="Alameda County"/>
    <x v="2"/>
    <x v="2"/>
    <x v="2"/>
  </r>
  <r>
    <s v="TX500269"/>
    <x v="8"/>
    <x v="0"/>
    <n v="22.1"/>
    <n v="22.1"/>
    <x v="11"/>
    <d v="2025-01-16T00:00:00"/>
    <s v="F"/>
    <x v="1"/>
    <x v="1"/>
    <s v="California"/>
    <s v="Imperial County"/>
    <x v="5"/>
    <x v="2"/>
    <x v="2"/>
  </r>
  <r>
    <s v="TX500270"/>
    <x v="6"/>
    <x v="2"/>
    <n v="90.9"/>
    <n v="272.70000000000005"/>
    <x v="11"/>
    <d v="2025-01-13T00:00:00"/>
    <s v="F"/>
    <x v="2"/>
    <x v="4"/>
    <s v="California"/>
    <s v="Los Angeles County"/>
    <x v="3"/>
    <x v="2"/>
    <x v="2"/>
  </r>
  <r>
    <s v="TX500271"/>
    <x v="8"/>
    <x v="2"/>
    <n v="44.5"/>
    <n v="133.5"/>
    <x v="11"/>
    <d v="2025-01-13T00:00:00"/>
    <s v="F"/>
    <x v="1"/>
    <x v="0"/>
    <s v="California"/>
    <s v="Los Angeles County"/>
    <x v="3"/>
    <x v="2"/>
    <x v="2"/>
  </r>
  <r>
    <s v="TX500272"/>
    <x v="9"/>
    <x v="13"/>
    <n v="32.299999999999997"/>
    <n v="193.79999999999998"/>
    <x v="11"/>
    <d v="2025-01-16T00:00:00"/>
    <s v="F"/>
    <x v="0"/>
    <x v="0"/>
    <s v="California"/>
    <s v="Los Angeles County"/>
    <x v="5"/>
    <x v="2"/>
    <x v="2"/>
  </r>
  <r>
    <s v="TX500273"/>
    <x v="17"/>
    <x v="2"/>
    <n v="87.5"/>
    <n v="262.5"/>
    <x v="11"/>
    <d v="2025-01-13T00:00:00"/>
    <s v="F"/>
    <x v="1"/>
    <x v="1"/>
    <s v="California"/>
    <s v="Los Angeles County"/>
    <x v="3"/>
    <x v="2"/>
    <x v="2"/>
  </r>
  <r>
    <s v="TX500274"/>
    <x v="16"/>
    <x v="9"/>
    <n v="48.7"/>
    <n v="243.5"/>
    <x v="11"/>
    <d v="2025-01-13T00:00:00"/>
    <s v="M"/>
    <x v="2"/>
    <x v="0"/>
    <s v="California"/>
    <s v="Los Angeles County"/>
    <x v="3"/>
    <x v="2"/>
    <x v="1"/>
  </r>
  <r>
    <s v="TX500275"/>
    <x v="0"/>
    <x v="9"/>
    <n v="22.5"/>
    <n v="112.5"/>
    <x v="11"/>
    <d v="2025-01-13T00:00:00"/>
    <s v="M"/>
    <x v="0"/>
    <x v="0"/>
    <s v="California"/>
    <s v="Los Angeles County"/>
    <x v="3"/>
    <x v="2"/>
    <x v="1"/>
  </r>
  <r>
    <s v="TX500276"/>
    <x v="1"/>
    <x v="8"/>
    <n v="65.900000000000006"/>
    <n v="527.20000000000005"/>
    <x v="11"/>
    <d v="2025-01-15T00:00:00"/>
    <s v="F"/>
    <x v="1"/>
    <x v="2"/>
    <s v="California"/>
    <s v="Los Angeles County"/>
    <x v="2"/>
    <x v="2"/>
    <x v="2"/>
  </r>
  <r>
    <s v="TX500277"/>
    <x v="6"/>
    <x v="9"/>
    <n v="41.9"/>
    <n v="209.5"/>
    <x v="11"/>
    <d v="2025-01-19T00:00:00"/>
    <s v=""/>
    <x v="0"/>
    <x v="0"/>
    <s v="California"/>
    <s v="Los Angeles County"/>
    <x v="6"/>
    <x v="2"/>
    <x v="0"/>
  </r>
  <r>
    <s v="TX500278"/>
    <x v="1"/>
    <x v="9"/>
    <n v="67.5"/>
    <n v="337.5"/>
    <x v="11"/>
    <d v="2025-01-13T00:00:00"/>
    <s v="F"/>
    <x v="0"/>
    <x v="2"/>
    <s v="California"/>
    <s v="Los Angeles County"/>
    <x v="3"/>
    <x v="2"/>
    <x v="2"/>
  </r>
  <r>
    <s v="TX500279"/>
    <x v="9"/>
    <x v="0"/>
    <n v="60.4"/>
    <n v="60.4"/>
    <x v="12"/>
    <d v="2025-01-15T00:00:00"/>
    <s v="F"/>
    <x v="1"/>
    <x v="1"/>
    <s v="California"/>
    <s v="Los Angeles County"/>
    <x v="1"/>
    <x v="2"/>
    <x v="2"/>
  </r>
  <r>
    <s v="TX500280"/>
    <x v="1"/>
    <x v="3"/>
    <n v="30.4"/>
    <n v="212.79999999999998"/>
    <x v="12"/>
    <d v="2025-01-16T00:00:00"/>
    <s v="F"/>
    <x v="4"/>
    <x v="0"/>
    <s v="California"/>
    <s v="Los Angeles County"/>
    <x v="2"/>
    <x v="2"/>
    <x v="2"/>
  </r>
  <r>
    <s v="TX500281"/>
    <x v="14"/>
    <x v="1"/>
    <n v="24.5"/>
    <n v="49"/>
    <x v="12"/>
    <d v="2025-01-14T00:00:00"/>
    <s v="M"/>
    <x v="3"/>
    <x v="2"/>
    <s v="California"/>
    <s v="Los Angeles County"/>
    <x v="3"/>
    <x v="2"/>
    <x v="1"/>
  </r>
  <r>
    <s v="TX500282"/>
    <x v="2"/>
    <x v="2"/>
    <n v="105.9"/>
    <n v="317.70000000000005"/>
    <x v="12"/>
    <d v="2025-01-18T00:00:00"/>
    <s v="M"/>
    <x v="0"/>
    <x v="0"/>
    <s v="California"/>
    <s v="Madera County"/>
    <x v="0"/>
    <x v="2"/>
    <x v="1"/>
  </r>
  <r>
    <s v="TX500283"/>
    <x v="10"/>
    <x v="25"/>
    <n v="25.9"/>
    <n v="621.59999999999991"/>
    <x v="12"/>
    <d v="2025-01-14T00:00:00"/>
    <s v="F"/>
    <x v="4"/>
    <x v="0"/>
    <s v="California"/>
    <s v="Riverside County"/>
    <x v="3"/>
    <x v="2"/>
    <x v="2"/>
  </r>
  <r>
    <s v="TX500284"/>
    <x v="6"/>
    <x v="2"/>
    <n v="66.8"/>
    <n v="200.39999999999998"/>
    <x v="12"/>
    <d v="2025-01-13T00:00:00"/>
    <s v="M"/>
    <x v="0"/>
    <x v="0"/>
    <s v="California"/>
    <s v="Riverside County"/>
    <x v="7"/>
    <x v="2"/>
    <x v="1"/>
  </r>
  <r>
    <s v="TX500285"/>
    <x v="6"/>
    <x v="2"/>
    <n v="112.3"/>
    <n v="336.9"/>
    <x v="12"/>
    <d v="2025-01-14T00:00:00"/>
    <s v="M"/>
    <x v="2"/>
    <x v="4"/>
    <s v="California"/>
    <s v="Sacramento County"/>
    <x v="3"/>
    <x v="2"/>
    <x v="1"/>
  </r>
  <r>
    <s v="TX500286"/>
    <x v="1"/>
    <x v="13"/>
    <n v="94.1"/>
    <n v="564.59999999999991"/>
    <x v="12"/>
    <d v="2025-01-14T00:00:00"/>
    <s v="F"/>
    <x v="0"/>
    <x v="4"/>
    <s v="California"/>
    <s v="Sacramento County"/>
    <x v="3"/>
    <x v="2"/>
    <x v="2"/>
  </r>
  <r>
    <s v="TX500287"/>
    <x v="5"/>
    <x v="0"/>
    <n v="40.700000000000003"/>
    <n v="40.700000000000003"/>
    <x v="12"/>
    <d v="2025-01-16T00:00:00"/>
    <s v="F"/>
    <x v="2"/>
    <x v="0"/>
    <s v="California"/>
    <s v="Sacramento County"/>
    <x v="2"/>
    <x v="2"/>
    <x v="2"/>
  </r>
  <r>
    <s v="TX500288"/>
    <x v="3"/>
    <x v="1"/>
    <n v="71.400000000000006"/>
    <n v="142.80000000000001"/>
    <x v="12"/>
    <d v="2025-01-14T00:00:00"/>
    <s v="M"/>
    <x v="0"/>
    <x v="0"/>
    <s v="California"/>
    <s v="San Bernardino County"/>
    <x v="3"/>
    <x v="2"/>
    <x v="1"/>
  </r>
  <r>
    <s v="TX500289"/>
    <x v="0"/>
    <x v="16"/>
    <n v="15.6"/>
    <n v="280.8"/>
    <x v="12"/>
    <d v="2025-01-14T00:00:00"/>
    <s v="M"/>
    <x v="1"/>
    <x v="3"/>
    <s v="California"/>
    <s v="San Diego County"/>
    <x v="3"/>
    <x v="2"/>
    <x v="1"/>
  </r>
  <r>
    <s v="TX500290"/>
    <x v="10"/>
    <x v="12"/>
    <n v="37.799999999999997"/>
    <n v="151.19999999999999"/>
    <x v="12"/>
    <d v="2025-01-14T00:00:00"/>
    <s v="M"/>
    <x v="2"/>
    <x v="2"/>
    <s v="California"/>
    <s v="San Diego County"/>
    <x v="3"/>
    <x v="2"/>
    <x v="1"/>
  </r>
  <r>
    <s v="TX500291"/>
    <x v="4"/>
    <x v="2"/>
    <n v="28.1"/>
    <n v="84.300000000000011"/>
    <x v="12"/>
    <d v="2025-01-17T00:00:00"/>
    <s v="M"/>
    <x v="0"/>
    <x v="0"/>
    <s v="California"/>
    <s v="San Diego County"/>
    <x v="5"/>
    <x v="2"/>
    <x v="1"/>
  </r>
  <r>
    <s v="TX500292"/>
    <x v="7"/>
    <x v="13"/>
    <n v="51.4"/>
    <n v="308.39999999999998"/>
    <x v="12"/>
    <d v="2025-01-17T00:00:00"/>
    <s v="M"/>
    <x v="0"/>
    <x v="0"/>
    <s v="California"/>
    <s v="San Diego County"/>
    <x v="5"/>
    <x v="2"/>
    <x v="1"/>
  </r>
  <r>
    <s v="TX500293"/>
    <x v="7"/>
    <x v="1"/>
    <n v="97.7"/>
    <n v="195.4"/>
    <x v="12"/>
    <d v="2025-01-15T00:00:00"/>
    <s v="F"/>
    <x v="4"/>
    <x v="2"/>
    <s v="California"/>
    <s v="San Francisco"/>
    <x v="1"/>
    <x v="2"/>
    <x v="2"/>
  </r>
  <r>
    <s v="TX500294"/>
    <x v="1"/>
    <x v="12"/>
    <n v="63.8"/>
    <n v="255.2"/>
    <x v="12"/>
    <d v="2025-01-14T00:00:00"/>
    <s v="M"/>
    <x v="2"/>
    <x v="0"/>
    <s v="California"/>
    <s v="Solano County"/>
    <x v="3"/>
    <x v="2"/>
    <x v="1"/>
  </r>
  <r>
    <s v="TX500295"/>
    <x v="13"/>
    <x v="1"/>
    <n v="20.100000000000001"/>
    <n v="40.200000000000003"/>
    <x v="12"/>
    <d v="2025-01-15T00:00:00"/>
    <s v="M"/>
    <x v="0"/>
    <x v="2"/>
    <s v="California"/>
    <s v="Tulare County"/>
    <x v="1"/>
    <x v="2"/>
    <x v="1"/>
  </r>
  <r>
    <s v="TX500296"/>
    <x v="11"/>
    <x v="2"/>
    <n v="50.4"/>
    <n v="151.19999999999999"/>
    <x v="12"/>
    <d v="2025-01-16T00:00:00"/>
    <s v="F"/>
    <x v="3"/>
    <x v="0"/>
    <s v="California"/>
    <s v="Ventura County"/>
    <x v="2"/>
    <x v="2"/>
    <x v="2"/>
  </r>
  <r>
    <s v="TX500297"/>
    <x v="0"/>
    <x v="0"/>
    <n v="16.2"/>
    <n v="16.2"/>
    <x v="12"/>
    <d v="2025-01-26T00:00:00"/>
    <s v="F"/>
    <x v="1"/>
    <x v="0"/>
    <s v="California"/>
    <s v="Contra Costa County"/>
    <x v="10"/>
    <x v="2"/>
    <x v="2"/>
  </r>
  <r>
    <s v="TX500298"/>
    <x v="6"/>
    <x v="3"/>
    <n v="80.900000000000006"/>
    <n v="566.30000000000007"/>
    <x v="12"/>
    <d v="2025-01-15T00:00:00"/>
    <s v="M"/>
    <x v="4"/>
    <x v="4"/>
    <s v="California"/>
    <s v="Fresno County"/>
    <x v="1"/>
    <x v="2"/>
    <x v="1"/>
  </r>
  <r>
    <s v="TX500299"/>
    <x v="9"/>
    <x v="13"/>
    <n v="95.2"/>
    <n v="571.20000000000005"/>
    <x v="12"/>
    <d v="2025-01-15T00:00:00"/>
    <s v="F"/>
    <x v="0"/>
    <x v="2"/>
    <s v="California"/>
    <s v="Fresno County"/>
    <x v="1"/>
    <x v="2"/>
    <x v="2"/>
  </r>
  <r>
    <s v="TX500300"/>
    <x v="5"/>
    <x v="8"/>
    <n v="70.400000000000006"/>
    <n v="563.20000000000005"/>
    <x v="12"/>
    <d v="2025-01-14T00:00:00"/>
    <s v="M"/>
    <x v="1"/>
    <x v="1"/>
    <s v="California"/>
    <s v="Los Angeles County"/>
    <x v="3"/>
    <x v="2"/>
    <x v="1"/>
  </r>
  <r>
    <s v="TX500301"/>
    <x v="0"/>
    <x v="9"/>
    <n v="10.7"/>
    <n v="53.5"/>
    <x v="12"/>
    <d v="2025-01-17T00:00:00"/>
    <s v="F"/>
    <x v="2"/>
    <x v="0"/>
    <s v="California"/>
    <s v="Los Angeles County"/>
    <x v="5"/>
    <x v="2"/>
    <x v="2"/>
  </r>
  <r>
    <s v="TX500302"/>
    <x v="8"/>
    <x v="9"/>
    <n v="19.600000000000001"/>
    <n v="98"/>
    <x v="12"/>
    <d v="2025-01-15T00:00:00"/>
    <s v="F"/>
    <x v="0"/>
    <x v="3"/>
    <s v="California"/>
    <s v="Los Angeles County"/>
    <x v="1"/>
    <x v="2"/>
    <x v="2"/>
  </r>
  <r>
    <s v="TX500303"/>
    <x v="8"/>
    <x v="5"/>
    <n v="34.700000000000003"/>
    <n v="381.70000000000005"/>
    <x v="12"/>
    <d v="2025-01-15T00:00:00"/>
    <s v="F"/>
    <x v="0"/>
    <x v="2"/>
    <s v="California"/>
    <s v="Los Angeles County"/>
    <x v="1"/>
    <x v="2"/>
    <x v="2"/>
  </r>
  <r>
    <s v="TX500304"/>
    <x v="10"/>
    <x v="11"/>
    <n v="34.1"/>
    <n v="306.90000000000003"/>
    <x v="12"/>
    <d v="2025-01-14T00:00:00"/>
    <s v="F"/>
    <x v="4"/>
    <x v="1"/>
    <s v="California"/>
    <s v="Los Angeles County"/>
    <x v="3"/>
    <x v="2"/>
    <x v="2"/>
  </r>
  <r>
    <s v="TX500305"/>
    <x v="0"/>
    <x v="26"/>
    <n v="29.3"/>
    <n v="1435.7"/>
    <x v="12"/>
    <d v="2025-01-13T00:00:00"/>
    <s v="M"/>
    <x v="0"/>
    <x v="1"/>
    <s v="California"/>
    <s v="Los Angeles County"/>
    <x v="7"/>
    <x v="2"/>
    <x v="1"/>
  </r>
  <r>
    <s v="TX500306"/>
    <x v="1"/>
    <x v="0"/>
    <n v="55.2"/>
    <n v="55.2"/>
    <x v="12"/>
    <d v="2025-01-14T00:00:00"/>
    <s v="F"/>
    <x v="0"/>
    <x v="1"/>
    <s v="California"/>
    <s v="Los Angeles County"/>
    <x v="3"/>
    <x v="2"/>
    <x v="2"/>
  </r>
  <r>
    <s v="TX500307"/>
    <x v="18"/>
    <x v="2"/>
    <n v="26"/>
    <n v="78"/>
    <x v="12"/>
    <d v="2025-01-16T00:00:00"/>
    <s v="F"/>
    <x v="0"/>
    <x v="2"/>
    <s v="California"/>
    <s v="Los Angeles County"/>
    <x v="2"/>
    <x v="2"/>
    <x v="2"/>
  </r>
  <r>
    <s v="TX500308"/>
    <x v="14"/>
    <x v="1"/>
    <n v="14.2"/>
    <n v="28.4"/>
    <x v="12"/>
    <d v="2025-01-18T00:00:00"/>
    <s v="F"/>
    <x v="3"/>
    <x v="0"/>
    <s v="California"/>
    <s v="Modoc County"/>
    <x v="0"/>
    <x v="2"/>
    <x v="2"/>
  </r>
  <r>
    <s v="TX500309"/>
    <x v="8"/>
    <x v="11"/>
    <n v="22.7"/>
    <n v="204.29999999999998"/>
    <x v="13"/>
    <d v="2025-01-15T00:00:00"/>
    <s v="M"/>
    <x v="1"/>
    <x v="0"/>
    <s v="California"/>
    <s v="Sacramento County"/>
    <x v="3"/>
    <x v="2"/>
    <x v="1"/>
  </r>
  <r>
    <s v="TX500310"/>
    <x v="0"/>
    <x v="20"/>
    <n v="19.8"/>
    <n v="297"/>
    <x v="13"/>
    <d v="2025-01-14T00:00:00"/>
    <s v="F"/>
    <x v="0"/>
    <x v="2"/>
    <s v="California"/>
    <s v="Sacramento County"/>
    <x v="7"/>
    <x v="2"/>
    <x v="2"/>
  </r>
  <r>
    <s v="TX500311"/>
    <x v="0"/>
    <x v="2"/>
    <n v="31.7"/>
    <n v="95.1"/>
    <x v="13"/>
    <d v="2025-01-15T00:00:00"/>
    <s v="M"/>
    <x v="2"/>
    <x v="0"/>
    <s v="California"/>
    <s v="Sacramento County"/>
    <x v="3"/>
    <x v="2"/>
    <x v="1"/>
  </r>
  <r>
    <s v="TX500312"/>
    <x v="8"/>
    <x v="12"/>
    <n v="30.4"/>
    <n v="121.6"/>
    <x v="13"/>
    <d v="2025-01-18T00:00:00"/>
    <s v="M"/>
    <x v="0"/>
    <x v="0"/>
    <s v="California"/>
    <s v="Sacramento County"/>
    <x v="5"/>
    <x v="2"/>
    <x v="1"/>
  </r>
  <r>
    <s v="TX500313"/>
    <x v="0"/>
    <x v="12"/>
    <n v="25.6"/>
    <n v="102.4"/>
    <x v="13"/>
    <d v="2025-01-15T00:00:00"/>
    <s v="M"/>
    <x v="3"/>
    <x v="0"/>
    <s v="California"/>
    <s v="San Diego County"/>
    <x v="3"/>
    <x v="2"/>
    <x v="1"/>
  </r>
  <r>
    <s v="TX500314"/>
    <x v="5"/>
    <x v="1"/>
    <n v="34.9"/>
    <n v="69.8"/>
    <x v="13"/>
    <d v="2025-01-15T00:00:00"/>
    <s v="F"/>
    <x v="2"/>
    <x v="0"/>
    <s v="California"/>
    <s v="San Mateo County"/>
    <x v="3"/>
    <x v="2"/>
    <x v="2"/>
  </r>
  <r>
    <s v="TX500315"/>
    <x v="7"/>
    <x v="13"/>
    <n v="42.7"/>
    <n v="256.20000000000005"/>
    <x v="13"/>
    <d v="2025-01-17T00:00:00"/>
    <s v="M"/>
    <x v="2"/>
    <x v="1"/>
    <s v="California"/>
    <s v="Santa Clara County"/>
    <x v="2"/>
    <x v="2"/>
    <x v="1"/>
  </r>
  <r>
    <s v="TX500316"/>
    <x v="8"/>
    <x v="0"/>
    <n v="23.9"/>
    <n v="23.9"/>
    <x v="13"/>
    <d v="2025-01-16T00:00:00"/>
    <s v="F"/>
    <x v="3"/>
    <x v="0"/>
    <s v="California"/>
    <s v="Santa Clara County"/>
    <x v="1"/>
    <x v="2"/>
    <x v="2"/>
  </r>
  <r>
    <s v="TX500317"/>
    <x v="6"/>
    <x v="0"/>
    <n v="124.3"/>
    <n v="124.3"/>
    <x v="13"/>
    <d v="2025-01-15T00:00:00"/>
    <s v=""/>
    <x v="2"/>
    <x v="1"/>
    <s v="California"/>
    <s v="Alameda County"/>
    <x v="3"/>
    <x v="2"/>
    <x v="0"/>
  </r>
  <r>
    <s v="TX500318"/>
    <x v="8"/>
    <x v="13"/>
    <n v="35.9"/>
    <n v="215.39999999999998"/>
    <x v="13"/>
    <d v="2025-01-15T00:00:00"/>
    <s v="F"/>
    <x v="0"/>
    <x v="1"/>
    <s v="California"/>
    <s v="Contra Costa County"/>
    <x v="3"/>
    <x v="2"/>
    <x v="2"/>
  </r>
  <r>
    <s v="TX500319"/>
    <x v="2"/>
    <x v="1"/>
    <n v="69.099999999999994"/>
    <n v="138.19999999999999"/>
    <x v="13"/>
    <d v="2025-01-17T00:00:00"/>
    <s v="F"/>
    <x v="0"/>
    <x v="2"/>
    <s v="California"/>
    <s v="Kern County"/>
    <x v="2"/>
    <x v="2"/>
    <x v="2"/>
  </r>
  <r>
    <s v="TX500320"/>
    <x v="7"/>
    <x v="0"/>
    <n v="58.4"/>
    <n v="58.4"/>
    <x v="13"/>
    <d v="2025-01-18T00:00:00"/>
    <s v="M"/>
    <x v="0"/>
    <x v="0"/>
    <s v="California"/>
    <s v="Kern County"/>
    <x v="5"/>
    <x v="2"/>
    <x v="1"/>
  </r>
  <r>
    <s v="TX500321"/>
    <x v="5"/>
    <x v="0"/>
    <n v="65.2"/>
    <n v="65.2"/>
    <x v="13"/>
    <d v="2025-01-16T00:00:00"/>
    <s v="O"/>
    <x v="4"/>
    <x v="4"/>
    <s v="California"/>
    <s v="Los Angeles County"/>
    <x v="1"/>
    <x v="2"/>
    <x v="3"/>
  </r>
  <r>
    <s v="TX500322"/>
    <x v="8"/>
    <x v="14"/>
    <n v="32.700000000000003"/>
    <n v="555.90000000000009"/>
    <x v="13"/>
    <d v="2025-01-21T00:00:00"/>
    <s v=""/>
    <x v="4"/>
    <x v="0"/>
    <s v="California"/>
    <s v="Los Angeles County"/>
    <x v="6"/>
    <x v="2"/>
    <x v="0"/>
  </r>
  <r>
    <s v="TX500323"/>
    <x v="10"/>
    <x v="3"/>
    <n v="24.4"/>
    <n v="170.79999999999998"/>
    <x v="13"/>
    <d v="2025-01-15T00:00:00"/>
    <s v="F"/>
    <x v="0"/>
    <x v="0"/>
    <s v="California"/>
    <s v="Los Angeles County"/>
    <x v="3"/>
    <x v="2"/>
    <x v="2"/>
  </r>
  <r>
    <s v="TX500324"/>
    <x v="14"/>
    <x v="1"/>
    <n v="50.4"/>
    <n v="100.8"/>
    <x v="13"/>
    <d v="2025-01-20T00:00:00"/>
    <s v="M"/>
    <x v="0"/>
    <x v="1"/>
    <s v="California"/>
    <s v="Los Angeles County"/>
    <x v="4"/>
    <x v="2"/>
    <x v="1"/>
  </r>
  <r>
    <s v="TX500325"/>
    <x v="1"/>
    <x v="1"/>
    <n v="100"/>
    <n v="200"/>
    <x v="13"/>
    <d v="2025-01-15T00:00:00"/>
    <s v="F"/>
    <x v="0"/>
    <x v="0"/>
    <s v="California"/>
    <s v="Los Angeles County"/>
    <x v="3"/>
    <x v="2"/>
    <x v="2"/>
  </r>
  <r>
    <s v="TX500326"/>
    <x v="10"/>
    <x v="2"/>
    <n v="43"/>
    <n v="129"/>
    <x v="14"/>
    <d v="2025-01-15T00:00:00"/>
    <s v="F"/>
    <x v="2"/>
    <x v="1"/>
    <s v="California"/>
    <s v="Los Angeles County"/>
    <x v="7"/>
    <x v="2"/>
    <x v="2"/>
  </r>
  <r>
    <s v="TX500327"/>
    <x v="1"/>
    <x v="9"/>
    <n v="64.400000000000006"/>
    <n v="322"/>
    <x v="14"/>
    <d v="2025-01-17T00:00:00"/>
    <s v="M"/>
    <x v="2"/>
    <x v="1"/>
    <s v="California"/>
    <s v="Los Angeles County"/>
    <x v="1"/>
    <x v="2"/>
    <x v="1"/>
  </r>
  <r>
    <s v="TX500328"/>
    <x v="18"/>
    <x v="1"/>
    <n v="57.4"/>
    <n v="114.8"/>
    <x v="14"/>
    <d v="2025-01-16T00:00:00"/>
    <s v="M"/>
    <x v="2"/>
    <x v="1"/>
    <s v="California"/>
    <s v="Los Angeles County"/>
    <x v="3"/>
    <x v="2"/>
    <x v="1"/>
  </r>
  <r>
    <s v="TX500329"/>
    <x v="2"/>
    <x v="2"/>
    <n v="55.1"/>
    <n v="165.3"/>
    <x v="14"/>
    <d v="2025-01-18T00:00:00"/>
    <s v="F"/>
    <x v="1"/>
    <x v="0"/>
    <s v="California"/>
    <s v="Los Angeles County"/>
    <x v="2"/>
    <x v="2"/>
    <x v="2"/>
  </r>
  <r>
    <s v="TX500330"/>
    <x v="7"/>
    <x v="12"/>
    <n v="45.4"/>
    <n v="181.6"/>
    <x v="14"/>
    <d v="2025-01-16T00:00:00"/>
    <s v="F"/>
    <x v="1"/>
    <x v="0"/>
    <s v="California"/>
    <s v="Los Angeles County"/>
    <x v="3"/>
    <x v="2"/>
    <x v="2"/>
  </r>
  <r>
    <s v="TX500331"/>
    <x v="3"/>
    <x v="2"/>
    <n v="93.3"/>
    <n v="279.89999999999998"/>
    <x v="14"/>
    <d v="2025-01-16T00:00:00"/>
    <s v="F"/>
    <x v="0"/>
    <x v="0"/>
    <s v="California"/>
    <s v="Mariposa County"/>
    <x v="3"/>
    <x v="2"/>
    <x v="2"/>
  </r>
  <r>
    <s v="TX500332"/>
    <x v="2"/>
    <x v="10"/>
    <n v="158.19999999999999"/>
    <n v="3005.7999999999997"/>
    <x v="14"/>
    <d v="2025-01-16T00:00:00"/>
    <s v="F"/>
    <x v="1"/>
    <x v="2"/>
    <s v="California"/>
    <s v="Napa County"/>
    <x v="3"/>
    <x v="2"/>
    <x v="2"/>
  </r>
  <r>
    <s v="TX500333"/>
    <x v="2"/>
    <x v="1"/>
    <n v="74.900000000000006"/>
    <n v="149.80000000000001"/>
    <x v="14"/>
    <d v="2025-01-17T00:00:00"/>
    <s v="M"/>
    <x v="3"/>
    <x v="0"/>
    <s v="California"/>
    <s v="Sacramento County"/>
    <x v="1"/>
    <x v="2"/>
    <x v="1"/>
  </r>
  <r>
    <s v="TX500334"/>
    <x v="8"/>
    <x v="3"/>
    <n v="26"/>
    <n v="182"/>
    <x v="14"/>
    <d v="2025-01-18T00:00:00"/>
    <s v="F"/>
    <x v="1"/>
    <x v="0"/>
    <s v="California"/>
    <s v="San Diego County"/>
    <x v="2"/>
    <x v="2"/>
    <x v="2"/>
  </r>
  <r>
    <s v="TX500335"/>
    <x v="9"/>
    <x v="13"/>
    <n v="37.5"/>
    <n v="225"/>
    <x v="14"/>
    <d v="2025-01-16T00:00:00"/>
    <s v="F"/>
    <x v="0"/>
    <x v="1"/>
    <s v="California"/>
    <s v="San Diego County"/>
    <x v="3"/>
    <x v="2"/>
    <x v="2"/>
  </r>
  <r>
    <s v="TX500336"/>
    <x v="6"/>
    <x v="1"/>
    <n v="75.8"/>
    <n v="151.6"/>
    <x v="14"/>
    <d v="2025-01-21T00:00:00"/>
    <s v="M"/>
    <x v="0"/>
    <x v="0"/>
    <s v="California"/>
    <s v="San Diego County"/>
    <x v="4"/>
    <x v="2"/>
    <x v="1"/>
  </r>
  <r>
    <s v="TX500337"/>
    <x v="7"/>
    <x v="0"/>
    <n v="48.5"/>
    <n v="48.5"/>
    <x v="14"/>
    <d v="2025-01-27T00:00:00"/>
    <s v=""/>
    <x v="4"/>
    <x v="2"/>
    <s v="California"/>
    <s v="San Diego County"/>
    <x v="13"/>
    <x v="2"/>
    <x v="0"/>
  </r>
  <r>
    <s v="TX500338"/>
    <x v="6"/>
    <x v="2"/>
    <n v="98.9"/>
    <n v="296.70000000000005"/>
    <x v="14"/>
    <d v="2025-01-17T00:00:00"/>
    <s v="F"/>
    <x v="4"/>
    <x v="1"/>
    <s v="California"/>
    <s v="San Diego County"/>
    <x v="1"/>
    <x v="2"/>
    <x v="2"/>
  </r>
  <r>
    <s v="TX500339"/>
    <x v="1"/>
    <x v="4"/>
    <n v="50.9"/>
    <n v="610.79999999999995"/>
    <x v="14"/>
    <d v="2025-01-15T00:00:00"/>
    <s v="M"/>
    <x v="4"/>
    <x v="0"/>
    <s v="California"/>
    <s v="San Diego County"/>
    <x v="7"/>
    <x v="2"/>
    <x v="1"/>
  </r>
  <r>
    <s v="TX500340"/>
    <x v="12"/>
    <x v="13"/>
    <n v="84.7"/>
    <n v="508.20000000000005"/>
    <x v="14"/>
    <d v="2025-01-15T00:00:00"/>
    <s v="F"/>
    <x v="2"/>
    <x v="0"/>
    <s v="California"/>
    <s v="San Diego County"/>
    <x v="7"/>
    <x v="2"/>
    <x v="2"/>
  </r>
  <r>
    <s v="TX500341"/>
    <x v="8"/>
    <x v="0"/>
    <n v="20.7"/>
    <n v="20.7"/>
    <x v="14"/>
    <d v="2025-01-17T00:00:00"/>
    <s v="F"/>
    <x v="3"/>
    <x v="2"/>
    <s v="California"/>
    <s v="San Diego County"/>
    <x v="1"/>
    <x v="2"/>
    <x v="2"/>
  </r>
  <r>
    <s v="TX500342"/>
    <x v="12"/>
    <x v="11"/>
    <n v="57.8"/>
    <n v="520.19999999999993"/>
    <x v="14"/>
    <d v="2025-01-26T00:00:00"/>
    <s v="M"/>
    <x v="0"/>
    <x v="4"/>
    <s v="California"/>
    <s v="San Francisco"/>
    <x v="11"/>
    <x v="2"/>
    <x v="1"/>
  </r>
  <r>
    <s v="TX500343"/>
    <x v="2"/>
    <x v="1"/>
    <n v="106.9"/>
    <n v="213.8"/>
    <x v="14"/>
    <d v="2025-01-17T00:00:00"/>
    <s v="F"/>
    <x v="0"/>
    <x v="2"/>
    <s v="California"/>
    <s v="San Luis Obispo County"/>
    <x v="1"/>
    <x v="2"/>
    <x v="2"/>
  </r>
  <r>
    <s v="TX500344"/>
    <x v="3"/>
    <x v="9"/>
    <n v="45.2"/>
    <n v="226"/>
    <x v="14"/>
    <d v="2025-01-19T00:00:00"/>
    <s v="F"/>
    <x v="1"/>
    <x v="0"/>
    <s v="California"/>
    <s v="Alameda County"/>
    <x v="5"/>
    <x v="2"/>
    <x v="2"/>
  </r>
  <r>
    <s v="TX500345"/>
    <x v="8"/>
    <x v="15"/>
    <n v="34.6"/>
    <n v="449.8"/>
    <x v="14"/>
    <d v="2025-01-15T00:00:00"/>
    <s v="F"/>
    <x v="1"/>
    <x v="1"/>
    <s v="California"/>
    <s v="Alameda County"/>
    <x v="7"/>
    <x v="2"/>
    <x v="2"/>
  </r>
  <r>
    <s v="TX500346"/>
    <x v="15"/>
    <x v="0"/>
    <n v="43.8"/>
    <n v="43.8"/>
    <x v="14"/>
    <d v="2025-01-17T00:00:00"/>
    <s v=""/>
    <x v="0"/>
    <x v="2"/>
    <s v="California"/>
    <s v="Alameda County"/>
    <x v="1"/>
    <x v="2"/>
    <x v="0"/>
  </r>
  <r>
    <s v="TX500347"/>
    <x v="15"/>
    <x v="0"/>
    <n v="20.399999999999999"/>
    <n v="20.399999999999999"/>
    <x v="14"/>
    <d v="2025-01-17T00:00:00"/>
    <s v="M"/>
    <x v="4"/>
    <x v="1"/>
    <s v="California"/>
    <s v="Alameda County"/>
    <x v="1"/>
    <x v="2"/>
    <x v="1"/>
  </r>
  <r>
    <s v="TX500348"/>
    <x v="1"/>
    <x v="0"/>
    <n v="36.700000000000003"/>
    <n v="36.700000000000003"/>
    <x v="14"/>
    <d v="2025-01-16T00:00:00"/>
    <s v="M"/>
    <x v="0"/>
    <x v="1"/>
    <s v="California"/>
    <s v="Contra Costa County"/>
    <x v="3"/>
    <x v="2"/>
    <x v="1"/>
  </r>
  <r>
    <s v="TX500349"/>
    <x v="8"/>
    <x v="2"/>
    <n v="27.2"/>
    <n v="81.599999999999994"/>
    <x v="14"/>
    <d v="2025-01-19T00:00:00"/>
    <s v="M"/>
    <x v="0"/>
    <x v="2"/>
    <s v="California"/>
    <s v="Contra Costa County"/>
    <x v="5"/>
    <x v="2"/>
    <x v="1"/>
  </r>
  <r>
    <s v="TX500350"/>
    <x v="6"/>
    <x v="0"/>
    <n v="58.2"/>
    <n v="58.2"/>
    <x v="14"/>
    <d v="2025-01-16T00:00:00"/>
    <s v="F"/>
    <x v="0"/>
    <x v="2"/>
    <s v="California"/>
    <s v="El Dorado County"/>
    <x v="3"/>
    <x v="2"/>
    <x v="2"/>
  </r>
  <r>
    <s v="TX500351"/>
    <x v="8"/>
    <x v="2"/>
    <n v="25.6"/>
    <n v="76.800000000000011"/>
    <x v="14"/>
    <d v="2025-01-16T00:00:00"/>
    <s v="M"/>
    <x v="4"/>
    <x v="4"/>
    <s v="California"/>
    <s v="Fresno County"/>
    <x v="3"/>
    <x v="2"/>
    <x v="1"/>
  </r>
  <r>
    <s v="TX500352"/>
    <x v="10"/>
    <x v="0"/>
    <n v="21.2"/>
    <n v="21.2"/>
    <x v="14"/>
    <d v="2025-01-15T00:00:00"/>
    <s v="F"/>
    <x v="1"/>
    <x v="2"/>
    <s v="California"/>
    <s v="Los Angeles County"/>
    <x v="7"/>
    <x v="2"/>
    <x v="2"/>
  </r>
  <r>
    <s v="TX500353"/>
    <x v="6"/>
    <x v="1"/>
    <n v="48.2"/>
    <n v="96.4"/>
    <x v="14"/>
    <d v="2025-01-23T00:00:00"/>
    <s v="F"/>
    <x v="0"/>
    <x v="2"/>
    <s v="California"/>
    <s v="Los Angeles County"/>
    <x v="9"/>
    <x v="2"/>
    <x v="2"/>
  </r>
  <r>
    <s v="TX500354"/>
    <x v="1"/>
    <x v="12"/>
    <n v="83.4"/>
    <n v="333.6"/>
    <x v="15"/>
    <d v="2025-01-17T00:00:00"/>
    <s v="M"/>
    <x v="0"/>
    <x v="0"/>
    <s v="California"/>
    <s v="Los Angeles County"/>
    <x v="3"/>
    <x v="2"/>
    <x v="1"/>
  </r>
  <r>
    <s v="TX500355"/>
    <x v="9"/>
    <x v="2"/>
    <n v="45.3"/>
    <n v="135.89999999999998"/>
    <x v="15"/>
    <d v="2025-01-22T00:00:00"/>
    <s v="M"/>
    <x v="2"/>
    <x v="1"/>
    <s v="California"/>
    <s v="Los Angeles County"/>
    <x v="4"/>
    <x v="2"/>
    <x v="1"/>
  </r>
  <r>
    <s v="TX500356"/>
    <x v="17"/>
    <x v="0"/>
    <n v="42"/>
    <n v="42"/>
    <x v="15"/>
    <d v="2025-01-17T00:00:00"/>
    <s v=""/>
    <x v="0"/>
    <x v="0"/>
    <s v="California"/>
    <s v="Los Angeles County"/>
    <x v="3"/>
    <x v="2"/>
    <x v="0"/>
  </r>
  <r>
    <s v="TX500357"/>
    <x v="0"/>
    <x v="11"/>
    <n v="21.8"/>
    <n v="196.20000000000002"/>
    <x v="15"/>
    <d v="2025-01-18T00:00:00"/>
    <s v="F"/>
    <x v="1"/>
    <x v="0"/>
    <s v="California"/>
    <s v="Los Angeles County"/>
    <x v="1"/>
    <x v="2"/>
    <x v="2"/>
  </r>
  <r>
    <s v="TX500358"/>
    <x v="8"/>
    <x v="16"/>
    <n v="21.4"/>
    <n v="385.2"/>
    <x v="15"/>
    <d v="2025-01-19T00:00:00"/>
    <s v="F"/>
    <x v="1"/>
    <x v="2"/>
    <s v="California"/>
    <s v="Los Angeles County"/>
    <x v="2"/>
    <x v="2"/>
    <x v="2"/>
  </r>
  <r>
    <s v="TX500359"/>
    <x v="10"/>
    <x v="2"/>
    <n v="45"/>
    <n v="135"/>
    <x v="15"/>
    <d v="2025-01-16T00:00:00"/>
    <s v="F"/>
    <x v="1"/>
    <x v="2"/>
    <s v="California"/>
    <s v="Los Angeles County"/>
    <x v="7"/>
    <x v="2"/>
    <x v="2"/>
  </r>
  <r>
    <s v="TX500360"/>
    <x v="14"/>
    <x v="0"/>
    <n v="39.6"/>
    <n v="39.6"/>
    <x v="15"/>
    <d v="2025-01-17T00:00:00"/>
    <s v="M"/>
    <x v="0"/>
    <x v="2"/>
    <s v="California"/>
    <s v="Los Angeles County"/>
    <x v="3"/>
    <x v="2"/>
    <x v="1"/>
  </r>
  <r>
    <s v="TX500361"/>
    <x v="12"/>
    <x v="2"/>
    <n v="79.8"/>
    <n v="239.39999999999998"/>
    <x v="15"/>
    <d v="2025-01-22T00:00:00"/>
    <s v="F"/>
    <x v="1"/>
    <x v="4"/>
    <s v="California"/>
    <s v="Los Angeles County"/>
    <x v="4"/>
    <x v="2"/>
    <x v="2"/>
  </r>
  <r>
    <s v="TX500362"/>
    <x v="1"/>
    <x v="12"/>
    <n v="63.6"/>
    <n v="254.4"/>
    <x v="15"/>
    <d v="2025-01-17T00:00:00"/>
    <s v="O"/>
    <x v="0"/>
    <x v="2"/>
    <s v="California"/>
    <s v="Merced County"/>
    <x v="3"/>
    <x v="2"/>
    <x v="3"/>
  </r>
  <r>
    <s v="TX500363"/>
    <x v="7"/>
    <x v="7"/>
    <n v="92.7"/>
    <n v="927"/>
    <x v="15"/>
    <d v="2025-01-20T00:00:00"/>
    <s v="M"/>
    <x v="1"/>
    <x v="2"/>
    <s v="California"/>
    <s v="Sacramento County"/>
    <x v="5"/>
    <x v="2"/>
    <x v="1"/>
  </r>
  <r>
    <s v="TX500364"/>
    <x v="1"/>
    <x v="12"/>
    <n v="48.4"/>
    <n v="193.6"/>
    <x v="15"/>
    <d v="2025-01-18T00:00:00"/>
    <s v="F"/>
    <x v="1"/>
    <x v="2"/>
    <s v="California"/>
    <s v="Sacramento County"/>
    <x v="1"/>
    <x v="2"/>
    <x v="2"/>
  </r>
  <r>
    <s v="TX500365"/>
    <x v="9"/>
    <x v="8"/>
    <n v="36"/>
    <n v="288"/>
    <x v="15"/>
    <d v="2025-01-19T00:00:00"/>
    <s v="M"/>
    <x v="2"/>
    <x v="2"/>
    <s v="California"/>
    <s v="San Diego County"/>
    <x v="2"/>
    <x v="2"/>
    <x v="1"/>
  </r>
  <r>
    <s v="TX500366"/>
    <x v="8"/>
    <x v="4"/>
    <n v="27"/>
    <n v="324"/>
    <x v="15"/>
    <d v="2025-01-18T00:00:00"/>
    <s v="F"/>
    <x v="2"/>
    <x v="1"/>
    <s v="California"/>
    <s v="San Diego County"/>
    <x v="1"/>
    <x v="2"/>
    <x v="2"/>
  </r>
  <r>
    <s v="TX500367"/>
    <x v="2"/>
    <x v="8"/>
    <n v="53.9"/>
    <n v="431.2"/>
    <x v="15"/>
    <d v="2025-01-17T00:00:00"/>
    <s v=""/>
    <x v="0"/>
    <x v="0"/>
    <s v="California"/>
    <s v="San Diego County"/>
    <x v="3"/>
    <x v="2"/>
    <x v="0"/>
  </r>
  <r>
    <s v="TX500368"/>
    <x v="3"/>
    <x v="11"/>
    <n v="48.4"/>
    <n v="435.59999999999997"/>
    <x v="15"/>
    <d v="2025-01-17T00:00:00"/>
    <s v="F"/>
    <x v="1"/>
    <x v="0"/>
    <s v="California"/>
    <s v="San Mateo County"/>
    <x v="3"/>
    <x v="2"/>
    <x v="2"/>
  </r>
  <r>
    <s v="TX500369"/>
    <x v="17"/>
    <x v="1"/>
    <n v="49.9"/>
    <n v="99.8"/>
    <x v="15"/>
    <d v="2025-01-21T00:00:00"/>
    <s v="M"/>
    <x v="4"/>
    <x v="4"/>
    <s v="California"/>
    <s v="Santa Barbara County"/>
    <x v="0"/>
    <x v="2"/>
    <x v="1"/>
  </r>
  <r>
    <s v="TX500370"/>
    <x v="1"/>
    <x v="2"/>
    <n v="51.7"/>
    <n v="155.10000000000002"/>
    <x v="15"/>
    <d v="2025-01-17T00:00:00"/>
    <s v="F"/>
    <x v="0"/>
    <x v="2"/>
    <s v="California"/>
    <s v="Santa Clara County"/>
    <x v="3"/>
    <x v="2"/>
    <x v="2"/>
  </r>
  <r>
    <s v="TX500371"/>
    <x v="8"/>
    <x v="2"/>
    <n v="41.8"/>
    <n v="125.39999999999999"/>
    <x v="15"/>
    <d v="2025-01-18T00:00:00"/>
    <s v="F"/>
    <x v="2"/>
    <x v="0"/>
    <s v="California"/>
    <s v="Sonoma County"/>
    <x v="1"/>
    <x v="2"/>
    <x v="2"/>
  </r>
  <r>
    <s v="TX500372"/>
    <x v="4"/>
    <x v="12"/>
    <n v="36.200000000000003"/>
    <n v="144.80000000000001"/>
    <x v="16"/>
    <d v="2025-01-18T00:00:00"/>
    <s v="M"/>
    <x v="2"/>
    <x v="2"/>
    <s v="California"/>
    <s v="Alameda County"/>
    <x v="3"/>
    <x v="2"/>
    <x v="1"/>
  </r>
  <r>
    <s v="TX500373"/>
    <x v="2"/>
    <x v="0"/>
    <n v="150.9"/>
    <n v="150.9"/>
    <x v="16"/>
    <d v="2025-01-27T00:00:00"/>
    <s v="M"/>
    <x v="0"/>
    <x v="0"/>
    <s v="California"/>
    <s v="Contra Costa County"/>
    <x v="14"/>
    <x v="2"/>
    <x v="1"/>
  </r>
  <r>
    <s v="TX500374"/>
    <x v="18"/>
    <x v="12"/>
    <n v="77.599999999999994"/>
    <n v="310.39999999999998"/>
    <x v="16"/>
    <d v="2025-01-18T00:00:00"/>
    <s v=""/>
    <x v="2"/>
    <x v="0"/>
    <s v="California"/>
    <s v="Los Angeles County"/>
    <x v="3"/>
    <x v="2"/>
    <x v="0"/>
  </r>
  <r>
    <s v="TX500375"/>
    <x v="13"/>
    <x v="9"/>
    <n v="65.5"/>
    <n v="327.5"/>
    <x v="16"/>
    <d v="2025-01-17T00:00:00"/>
    <s v="M"/>
    <x v="1"/>
    <x v="0"/>
    <s v="California"/>
    <s v="Los Angeles County"/>
    <x v="7"/>
    <x v="2"/>
    <x v="1"/>
  </r>
  <r>
    <s v="TX500376"/>
    <x v="6"/>
    <x v="2"/>
    <n v="90.1"/>
    <n v="270.29999999999995"/>
    <x v="16"/>
    <d v="2025-01-19T00:00:00"/>
    <s v="F"/>
    <x v="0"/>
    <x v="0"/>
    <s v="California"/>
    <s v="Los Angeles County"/>
    <x v="1"/>
    <x v="2"/>
    <x v="2"/>
  </r>
  <r>
    <s v="TX500377"/>
    <x v="1"/>
    <x v="1"/>
    <n v="108.3"/>
    <n v="216.6"/>
    <x v="16"/>
    <d v="2025-01-20T00:00:00"/>
    <s v="O"/>
    <x v="4"/>
    <x v="0"/>
    <s v="California"/>
    <s v="Los Angeles County"/>
    <x v="2"/>
    <x v="2"/>
    <x v="3"/>
  </r>
  <r>
    <s v="TX500378"/>
    <x v="5"/>
    <x v="2"/>
    <n v="59.9"/>
    <n v="179.7"/>
    <x v="16"/>
    <d v="2025-01-21T00:00:00"/>
    <s v="F"/>
    <x v="0"/>
    <x v="0"/>
    <s v="California"/>
    <s v="Los Angeles County"/>
    <x v="5"/>
    <x v="2"/>
    <x v="2"/>
  </r>
  <r>
    <s v="TX500379"/>
    <x v="2"/>
    <x v="14"/>
    <n v="139"/>
    <n v="2363"/>
    <x v="16"/>
    <d v="2025-01-19T00:00:00"/>
    <s v="F"/>
    <x v="1"/>
    <x v="4"/>
    <s v="California"/>
    <s v="Los Angeles County"/>
    <x v="1"/>
    <x v="2"/>
    <x v="2"/>
  </r>
  <r>
    <s v="TX500380"/>
    <x v="6"/>
    <x v="2"/>
    <n v="87.3"/>
    <n v="261.89999999999998"/>
    <x v="16"/>
    <d v="2025-01-18T00:00:00"/>
    <s v="F"/>
    <x v="0"/>
    <x v="0"/>
    <s v="California"/>
    <s v="Los Angeles County"/>
    <x v="3"/>
    <x v="2"/>
    <x v="2"/>
  </r>
  <r>
    <s v="TX500381"/>
    <x v="11"/>
    <x v="12"/>
    <n v="42.3"/>
    <n v="169.2"/>
    <x v="16"/>
    <d v="2025-01-17T00:00:00"/>
    <s v="M"/>
    <x v="0"/>
    <x v="0"/>
    <s v="California"/>
    <s v="Los Angeles County"/>
    <x v="7"/>
    <x v="2"/>
    <x v="1"/>
  </r>
  <r>
    <s v="TX500382"/>
    <x v="14"/>
    <x v="8"/>
    <n v="103.6"/>
    <n v="828.8"/>
    <x v="16"/>
    <d v="2025-01-18T00:00:00"/>
    <s v="O"/>
    <x v="0"/>
    <x v="1"/>
    <s v="California"/>
    <s v="Los Angeles County"/>
    <x v="3"/>
    <x v="2"/>
    <x v="3"/>
  </r>
  <r>
    <s v="TX500383"/>
    <x v="6"/>
    <x v="1"/>
    <n v="90.9"/>
    <n v="181.8"/>
    <x v="16"/>
    <d v="2025-01-18T00:00:00"/>
    <s v="M"/>
    <x v="1"/>
    <x v="0"/>
    <s v="California"/>
    <s v="Sacramento County"/>
    <x v="3"/>
    <x v="2"/>
    <x v="1"/>
  </r>
  <r>
    <s v="TX500384"/>
    <x v="9"/>
    <x v="27"/>
    <n v="100.9"/>
    <n v="1614.4"/>
    <x v="16"/>
    <d v="2025-01-18T00:00:00"/>
    <s v="F"/>
    <x v="1"/>
    <x v="0"/>
    <s v="California"/>
    <s v="Sacramento County"/>
    <x v="3"/>
    <x v="2"/>
    <x v="2"/>
  </r>
  <r>
    <s v="TX500385"/>
    <x v="4"/>
    <x v="9"/>
    <n v="36"/>
    <n v="180"/>
    <x v="16"/>
    <d v="2025-01-19T00:00:00"/>
    <s v="F"/>
    <x v="1"/>
    <x v="0"/>
    <s v="California"/>
    <s v="San Bernardino County"/>
    <x v="1"/>
    <x v="2"/>
    <x v="2"/>
  </r>
  <r>
    <s v="TX500386"/>
    <x v="6"/>
    <x v="13"/>
    <n v="83.3"/>
    <n v="499.79999999999995"/>
    <x v="16"/>
    <d v="2025-01-20T00:00:00"/>
    <s v=""/>
    <x v="2"/>
    <x v="0"/>
    <s v="California"/>
    <s v="San Bernardino County"/>
    <x v="2"/>
    <x v="2"/>
    <x v="0"/>
  </r>
  <r>
    <s v="TX500387"/>
    <x v="2"/>
    <x v="14"/>
    <n v="60.3"/>
    <n v="1025.0999999999999"/>
    <x v="16"/>
    <d v="2025-01-18T00:00:00"/>
    <s v="M"/>
    <x v="2"/>
    <x v="1"/>
    <s v="California"/>
    <s v="San Bernardino County"/>
    <x v="3"/>
    <x v="2"/>
    <x v="1"/>
  </r>
  <r>
    <s v="TX500388"/>
    <x v="2"/>
    <x v="13"/>
    <n v="120.3"/>
    <n v="721.8"/>
    <x v="16"/>
    <d v="2025-01-18T00:00:00"/>
    <s v="M"/>
    <x v="2"/>
    <x v="0"/>
    <s v="California"/>
    <s v="San Diego County"/>
    <x v="3"/>
    <x v="2"/>
    <x v="1"/>
  </r>
  <r>
    <s v="TX500389"/>
    <x v="4"/>
    <x v="7"/>
    <n v="34"/>
    <n v="340"/>
    <x v="16"/>
    <d v="2025-01-21T00:00:00"/>
    <s v="F"/>
    <x v="2"/>
    <x v="0"/>
    <s v="California"/>
    <s v="San Diego County"/>
    <x v="5"/>
    <x v="2"/>
    <x v="2"/>
  </r>
  <r>
    <s v="TX500390"/>
    <x v="10"/>
    <x v="9"/>
    <n v="42.6"/>
    <n v="213"/>
    <x v="16"/>
    <d v="2025-01-20T00:00:00"/>
    <s v="M"/>
    <x v="1"/>
    <x v="0"/>
    <s v="California"/>
    <s v="San Diego County"/>
    <x v="2"/>
    <x v="2"/>
    <x v="1"/>
  </r>
  <r>
    <s v="TX500391"/>
    <x v="5"/>
    <x v="28"/>
    <n v="47.4"/>
    <n v="948"/>
    <x v="16"/>
    <d v="2025-01-17T00:00:00"/>
    <s v="F"/>
    <x v="2"/>
    <x v="1"/>
    <s v="California"/>
    <s v="San Francisco"/>
    <x v="7"/>
    <x v="2"/>
    <x v="2"/>
  </r>
  <r>
    <s v="TX500392"/>
    <x v="2"/>
    <x v="0"/>
    <n v="74"/>
    <n v="74"/>
    <x v="17"/>
    <d v="2025-01-19T00:00:00"/>
    <s v="M"/>
    <x v="1"/>
    <x v="0"/>
    <s v="California"/>
    <s v="Santa Clara County"/>
    <x v="3"/>
    <x v="2"/>
    <x v="1"/>
  </r>
  <r>
    <s v="TX500393"/>
    <x v="2"/>
    <x v="9"/>
    <n v="60.4"/>
    <n v="302"/>
    <x v="17"/>
    <d v="2025-01-21T00:00:00"/>
    <s v="F"/>
    <x v="1"/>
    <x v="4"/>
    <s v="California"/>
    <s v="Sonoma County"/>
    <x v="2"/>
    <x v="2"/>
    <x v="2"/>
  </r>
  <r>
    <s v="TX500394"/>
    <x v="12"/>
    <x v="1"/>
    <n v="69.3"/>
    <n v="138.6"/>
    <x v="17"/>
    <d v="2025-01-21T00:00:00"/>
    <s v="M"/>
    <x v="1"/>
    <x v="1"/>
    <s v="California"/>
    <s v="Ventura County"/>
    <x v="2"/>
    <x v="2"/>
    <x v="1"/>
  </r>
  <r>
    <s v="TX500395"/>
    <x v="5"/>
    <x v="9"/>
    <n v="81"/>
    <n v="405"/>
    <x v="17"/>
    <d v="2025-01-24T00:00:00"/>
    <s v="M"/>
    <x v="3"/>
    <x v="0"/>
    <s v="California"/>
    <s v="Alameda County"/>
    <x v="4"/>
    <x v="2"/>
    <x v="1"/>
  </r>
  <r>
    <s v="TX500396"/>
    <x v="15"/>
    <x v="2"/>
    <n v="41.5"/>
    <n v="124.5"/>
    <x v="17"/>
    <d v="2025-01-20T00:00:00"/>
    <s v="O"/>
    <x v="1"/>
    <x v="0"/>
    <s v="California"/>
    <s v="Alameda County"/>
    <x v="1"/>
    <x v="2"/>
    <x v="3"/>
  </r>
  <r>
    <s v="TX500397"/>
    <x v="18"/>
    <x v="1"/>
    <n v="69.7"/>
    <n v="139.4"/>
    <x v="17"/>
    <d v="2025-01-23T00:00:00"/>
    <s v="M"/>
    <x v="1"/>
    <x v="0"/>
    <s v="California"/>
    <s v="Alameda County"/>
    <x v="0"/>
    <x v="2"/>
    <x v="1"/>
  </r>
  <r>
    <s v="TX500398"/>
    <x v="2"/>
    <x v="9"/>
    <n v="83.6"/>
    <n v="418"/>
    <x v="17"/>
    <d v="2025-01-18T00:00:00"/>
    <s v="F"/>
    <x v="4"/>
    <x v="0"/>
    <s v="California"/>
    <s v="Contra Costa County"/>
    <x v="7"/>
    <x v="2"/>
    <x v="2"/>
  </r>
  <r>
    <s v="TX500399"/>
    <x v="8"/>
    <x v="3"/>
    <n v="21.5"/>
    <n v="150.5"/>
    <x v="17"/>
    <d v="2025-01-20T00:00:00"/>
    <s v="M"/>
    <x v="1"/>
    <x v="4"/>
    <s v="California"/>
    <s v="Kings County"/>
    <x v="1"/>
    <x v="2"/>
    <x v="1"/>
  </r>
  <r>
    <s v="TX500400"/>
    <x v="8"/>
    <x v="8"/>
    <n v="28.6"/>
    <n v="228.8"/>
    <x v="17"/>
    <d v="2025-01-19T00:00:00"/>
    <s v="M"/>
    <x v="0"/>
    <x v="0"/>
    <s v="California"/>
    <s v="Los Angeles County"/>
    <x v="3"/>
    <x v="2"/>
    <x v="1"/>
  </r>
  <r>
    <s v="TX500401"/>
    <x v="8"/>
    <x v="13"/>
    <n v="18.8"/>
    <n v="112.80000000000001"/>
    <x v="17"/>
    <d v="2025-01-21T00:00:00"/>
    <s v="M"/>
    <x v="3"/>
    <x v="2"/>
    <s v="California"/>
    <s v="Los Angeles County"/>
    <x v="2"/>
    <x v="2"/>
    <x v="1"/>
  </r>
  <r>
    <s v="TX500402"/>
    <x v="10"/>
    <x v="12"/>
    <n v="35.1"/>
    <n v="140.4"/>
    <x v="17"/>
    <d v="2025-01-18T00:00:00"/>
    <s v="F"/>
    <x v="1"/>
    <x v="1"/>
    <s v="California"/>
    <s v="Los Angeles County"/>
    <x v="7"/>
    <x v="2"/>
    <x v="2"/>
  </r>
  <r>
    <s v="TX500403"/>
    <x v="0"/>
    <x v="1"/>
    <n v="12.7"/>
    <n v="25.4"/>
    <x v="17"/>
    <d v="2025-01-20T00:00:00"/>
    <s v="F"/>
    <x v="1"/>
    <x v="2"/>
    <s v="California"/>
    <s v="Los Angeles County"/>
    <x v="1"/>
    <x v="2"/>
    <x v="2"/>
  </r>
  <r>
    <s v="TX500404"/>
    <x v="8"/>
    <x v="9"/>
    <n v="27.4"/>
    <n v="137"/>
    <x v="17"/>
    <d v="2025-01-20T00:00:00"/>
    <s v="O"/>
    <x v="0"/>
    <x v="0"/>
    <s v="California"/>
    <s v="Los Angeles County"/>
    <x v="1"/>
    <x v="2"/>
    <x v="3"/>
  </r>
  <r>
    <s v="TX500405"/>
    <x v="10"/>
    <x v="1"/>
    <n v="61.3"/>
    <n v="122.6"/>
    <x v="17"/>
    <d v="2025-01-19T00:00:00"/>
    <s v="F"/>
    <x v="1"/>
    <x v="0"/>
    <s v="California"/>
    <s v="Sacramento County"/>
    <x v="3"/>
    <x v="2"/>
    <x v="2"/>
  </r>
  <r>
    <s v="TX500406"/>
    <x v="8"/>
    <x v="1"/>
    <n v="64.7"/>
    <n v="129.4"/>
    <x v="17"/>
    <d v="2025-01-20T00:00:00"/>
    <s v="F"/>
    <x v="3"/>
    <x v="2"/>
    <s v="California"/>
    <s v="Sacramento County"/>
    <x v="1"/>
    <x v="2"/>
    <x v="2"/>
  </r>
  <r>
    <s v="TX500407"/>
    <x v="7"/>
    <x v="12"/>
    <n v="91.4"/>
    <n v="365.6"/>
    <x v="17"/>
    <d v="2025-01-20T00:00:00"/>
    <s v="F"/>
    <x v="0"/>
    <x v="0"/>
    <s v="California"/>
    <s v="San Diego County"/>
    <x v="1"/>
    <x v="2"/>
    <x v="2"/>
  </r>
  <r>
    <s v="TX500408"/>
    <x v="0"/>
    <x v="1"/>
    <n v="33.1"/>
    <n v="66.2"/>
    <x v="18"/>
    <d v="2025-01-20T00:00:00"/>
    <s v="M"/>
    <x v="0"/>
    <x v="2"/>
    <s v="California"/>
    <s v="San Diego County"/>
    <x v="3"/>
    <x v="3"/>
    <x v="1"/>
  </r>
  <r>
    <s v="TX500409"/>
    <x v="3"/>
    <x v="1"/>
    <n v="105.6"/>
    <n v="211.2"/>
    <x v="18"/>
    <d v="2025-01-20T00:00:00"/>
    <s v="M"/>
    <x v="2"/>
    <x v="1"/>
    <s v="California"/>
    <s v="San Diego County"/>
    <x v="3"/>
    <x v="3"/>
    <x v="1"/>
  </r>
  <r>
    <s v="TX500410"/>
    <x v="10"/>
    <x v="2"/>
    <n v="46.4"/>
    <n v="139.19999999999999"/>
    <x v="18"/>
    <d v="2025-01-20T00:00:00"/>
    <s v="M"/>
    <x v="2"/>
    <x v="0"/>
    <s v="California"/>
    <s v="San Mateo County"/>
    <x v="3"/>
    <x v="3"/>
    <x v="1"/>
  </r>
  <r>
    <s v="TX500411"/>
    <x v="9"/>
    <x v="21"/>
    <n v="35.299999999999997"/>
    <n v="494.19999999999993"/>
    <x v="18"/>
    <d v="2025-01-22T00:00:00"/>
    <s v="F"/>
    <x v="4"/>
    <x v="1"/>
    <s v="California"/>
    <s v="Santa Clara County"/>
    <x v="2"/>
    <x v="3"/>
    <x v="2"/>
  </r>
  <r>
    <s v="TX500412"/>
    <x v="0"/>
    <x v="1"/>
    <n v="16.100000000000001"/>
    <n v="32.200000000000003"/>
    <x v="18"/>
    <d v="2025-01-21T00:00:00"/>
    <s v="M"/>
    <x v="3"/>
    <x v="2"/>
    <s v="California"/>
    <s v="Santa Cruz County"/>
    <x v="1"/>
    <x v="3"/>
    <x v="1"/>
  </r>
  <r>
    <s v="TX500413"/>
    <x v="4"/>
    <x v="1"/>
    <n v="27.9"/>
    <n v="55.8"/>
    <x v="18"/>
    <d v="2025-01-22T00:00:00"/>
    <s v="M"/>
    <x v="0"/>
    <x v="0"/>
    <s v="California"/>
    <s v="Ventura County"/>
    <x v="2"/>
    <x v="3"/>
    <x v="1"/>
  </r>
  <r>
    <s v="TX500414"/>
    <x v="8"/>
    <x v="0"/>
    <n v="47.1"/>
    <n v="47.1"/>
    <x v="18"/>
    <d v="2025-01-27T00:00:00"/>
    <s v="F"/>
    <x v="1"/>
    <x v="0"/>
    <s v="California"/>
    <s v="Fresno County"/>
    <x v="9"/>
    <x v="3"/>
    <x v="2"/>
  </r>
  <r>
    <s v="TX500415"/>
    <x v="6"/>
    <x v="1"/>
    <n v="85"/>
    <n v="170"/>
    <x v="18"/>
    <d v="2025-01-22T00:00:00"/>
    <s v=""/>
    <x v="2"/>
    <x v="2"/>
    <s v="California"/>
    <s v="Kern County"/>
    <x v="2"/>
    <x v="3"/>
    <x v="0"/>
  </r>
  <r>
    <s v="TX500416"/>
    <x v="18"/>
    <x v="1"/>
    <n v="89"/>
    <n v="178"/>
    <x v="18"/>
    <d v="2025-01-21T00:00:00"/>
    <s v="F"/>
    <x v="0"/>
    <x v="0"/>
    <s v="California"/>
    <s v="Los Angeles County"/>
    <x v="1"/>
    <x v="3"/>
    <x v="2"/>
  </r>
  <r>
    <s v="TX500417"/>
    <x v="16"/>
    <x v="2"/>
    <n v="36.6"/>
    <n v="109.80000000000001"/>
    <x v="18"/>
    <d v="2025-01-20T00:00:00"/>
    <s v="O"/>
    <x v="3"/>
    <x v="2"/>
    <s v="California"/>
    <s v="Los Angeles County"/>
    <x v="3"/>
    <x v="3"/>
    <x v="3"/>
  </r>
  <r>
    <s v="TX500418"/>
    <x v="6"/>
    <x v="3"/>
    <n v="43.5"/>
    <n v="304.5"/>
    <x v="18"/>
    <d v="2025-01-20T00:00:00"/>
    <s v="M"/>
    <x v="1"/>
    <x v="2"/>
    <s v="California"/>
    <s v="Los Angeles County"/>
    <x v="3"/>
    <x v="3"/>
    <x v="1"/>
  </r>
  <r>
    <s v="TX500419"/>
    <x v="9"/>
    <x v="10"/>
    <n v="30.5"/>
    <n v="579.5"/>
    <x v="18"/>
    <d v="2025-01-19T00:00:00"/>
    <s v="F"/>
    <x v="3"/>
    <x v="0"/>
    <s v="California"/>
    <s v="Los Angeles County"/>
    <x v="7"/>
    <x v="3"/>
    <x v="2"/>
  </r>
  <r>
    <s v="TX500420"/>
    <x v="1"/>
    <x v="1"/>
    <n v="107.7"/>
    <n v="215.4"/>
    <x v="18"/>
    <d v="2025-01-23T00:00:00"/>
    <s v="M"/>
    <x v="3"/>
    <x v="4"/>
    <s v="California"/>
    <s v="Los Angeles County"/>
    <x v="5"/>
    <x v="3"/>
    <x v="1"/>
  </r>
  <r>
    <s v="TX500421"/>
    <x v="17"/>
    <x v="18"/>
    <n v="57.1"/>
    <n v="1484.6000000000001"/>
    <x v="18"/>
    <d v="2025-01-20T00:00:00"/>
    <s v="M"/>
    <x v="1"/>
    <x v="0"/>
    <s v="California"/>
    <s v="Los Angeles County"/>
    <x v="3"/>
    <x v="3"/>
    <x v="1"/>
  </r>
  <r>
    <s v="TX500422"/>
    <x v="2"/>
    <x v="7"/>
    <n v="111.7"/>
    <n v="1117"/>
    <x v="18"/>
    <d v="2025-01-20T00:00:00"/>
    <s v="F"/>
    <x v="4"/>
    <x v="2"/>
    <s v="California"/>
    <s v="Los Angeles County"/>
    <x v="3"/>
    <x v="3"/>
    <x v="2"/>
  </r>
  <r>
    <s v="TX500423"/>
    <x v="18"/>
    <x v="3"/>
    <n v="44.3"/>
    <n v="310.09999999999997"/>
    <x v="18"/>
    <d v="2025-01-22T00:00:00"/>
    <s v="M"/>
    <x v="3"/>
    <x v="2"/>
    <s v="California"/>
    <s v="Los Angeles County"/>
    <x v="2"/>
    <x v="3"/>
    <x v="1"/>
  </r>
  <r>
    <s v="TX500424"/>
    <x v="2"/>
    <x v="8"/>
    <n v="95.8"/>
    <n v="766.4"/>
    <x v="18"/>
    <d v="2025-01-25T00:00:00"/>
    <s v="O"/>
    <x v="0"/>
    <x v="0"/>
    <s v="California"/>
    <s v="Los Angeles County"/>
    <x v="4"/>
    <x v="3"/>
    <x v="3"/>
  </r>
  <r>
    <s v="TX500425"/>
    <x v="10"/>
    <x v="3"/>
    <n v="22.6"/>
    <n v="158.20000000000002"/>
    <x v="18"/>
    <d v="2025-01-22T00:00:00"/>
    <s v="F"/>
    <x v="3"/>
    <x v="1"/>
    <s v="California"/>
    <s v="Los Angeles County"/>
    <x v="2"/>
    <x v="3"/>
    <x v="2"/>
  </r>
  <r>
    <s v="TX500426"/>
    <x v="8"/>
    <x v="8"/>
    <n v="25.6"/>
    <n v="204.8"/>
    <x v="18"/>
    <d v="2025-01-21T00:00:00"/>
    <s v="F"/>
    <x v="4"/>
    <x v="0"/>
    <s v="California"/>
    <s v="Los Angeles County"/>
    <x v="1"/>
    <x v="3"/>
    <x v="2"/>
  </r>
  <r>
    <s v="TX500427"/>
    <x v="6"/>
    <x v="27"/>
    <n v="54.3"/>
    <n v="868.8"/>
    <x v="18"/>
    <d v="2025-01-22T00:00:00"/>
    <s v="F"/>
    <x v="4"/>
    <x v="0"/>
    <s v="California"/>
    <s v="Los Angeles County"/>
    <x v="2"/>
    <x v="3"/>
    <x v="2"/>
  </r>
  <r>
    <s v="TX500428"/>
    <x v="18"/>
    <x v="15"/>
    <n v="51.3"/>
    <n v="666.9"/>
    <x v="18"/>
    <d v="2025-01-21T00:00:00"/>
    <s v="M"/>
    <x v="0"/>
    <x v="2"/>
    <s v="California"/>
    <s v="Los Angeles County"/>
    <x v="1"/>
    <x v="3"/>
    <x v="1"/>
  </r>
  <r>
    <s v="TX500429"/>
    <x v="0"/>
    <x v="8"/>
    <n v="25.6"/>
    <n v="204.8"/>
    <x v="18"/>
    <d v="2025-01-20T00:00:00"/>
    <s v="F"/>
    <x v="1"/>
    <x v="1"/>
    <s v="California"/>
    <s v="Los Angeles County"/>
    <x v="3"/>
    <x v="3"/>
    <x v="2"/>
  </r>
  <r>
    <s v="TX500430"/>
    <x v="0"/>
    <x v="1"/>
    <n v="15.6"/>
    <n v="31.2"/>
    <x v="18"/>
    <d v="2025-01-20T00:00:00"/>
    <s v="F"/>
    <x v="2"/>
    <x v="2"/>
    <s v="California"/>
    <s v="Los Angeles County"/>
    <x v="3"/>
    <x v="3"/>
    <x v="2"/>
  </r>
  <r>
    <s v="TX500431"/>
    <x v="8"/>
    <x v="2"/>
    <n v="30.3"/>
    <n v="90.9"/>
    <x v="18"/>
    <d v="2025-01-23T00:00:00"/>
    <s v="F"/>
    <x v="0"/>
    <x v="1"/>
    <s v="California"/>
    <s v="Los Angeles County"/>
    <x v="5"/>
    <x v="3"/>
    <x v="2"/>
  </r>
  <r>
    <s v="TX500432"/>
    <x v="12"/>
    <x v="1"/>
    <n v="30.3"/>
    <n v="60.6"/>
    <x v="18"/>
    <d v="2025-01-24T00:00:00"/>
    <s v="F"/>
    <x v="0"/>
    <x v="2"/>
    <s v="California"/>
    <s v="Madera County"/>
    <x v="0"/>
    <x v="3"/>
    <x v="2"/>
  </r>
  <r>
    <s v="TX500433"/>
    <x v="10"/>
    <x v="2"/>
    <n v="53"/>
    <n v="159"/>
    <x v="18"/>
    <d v="2025-01-26T00:00:00"/>
    <s v="F"/>
    <x v="2"/>
    <x v="0"/>
    <s v="California"/>
    <s v="Merced County"/>
    <x v="6"/>
    <x v="3"/>
    <x v="2"/>
  </r>
  <r>
    <s v="TX500434"/>
    <x v="5"/>
    <x v="16"/>
    <n v="59.9"/>
    <n v="1078.2"/>
    <x v="18"/>
    <d v="2025-01-22T00:00:00"/>
    <s v="M"/>
    <x v="2"/>
    <x v="4"/>
    <s v="California"/>
    <s v="Orange County"/>
    <x v="2"/>
    <x v="3"/>
    <x v="1"/>
  </r>
  <r>
    <s v="TX500435"/>
    <x v="9"/>
    <x v="1"/>
    <n v="45.7"/>
    <n v="91.4"/>
    <x v="18"/>
    <d v="2025-01-20T00:00:00"/>
    <s v="F"/>
    <x v="1"/>
    <x v="2"/>
    <s v="California"/>
    <s v="Sacramento County"/>
    <x v="3"/>
    <x v="3"/>
    <x v="2"/>
  </r>
  <r>
    <s v="TX500436"/>
    <x v="8"/>
    <x v="12"/>
    <n v="46.1"/>
    <n v="184.4"/>
    <x v="18"/>
    <d v="2025-01-20T00:00:00"/>
    <s v="M"/>
    <x v="0"/>
    <x v="0"/>
    <s v="California"/>
    <s v="Sacramento County"/>
    <x v="3"/>
    <x v="3"/>
    <x v="1"/>
  </r>
  <r>
    <s v="TX500437"/>
    <x v="8"/>
    <x v="2"/>
    <n v="17.5"/>
    <n v="52.5"/>
    <x v="18"/>
    <d v="2025-01-20T00:00:00"/>
    <s v="F"/>
    <x v="0"/>
    <x v="2"/>
    <s v="California"/>
    <s v="San Diego County"/>
    <x v="3"/>
    <x v="3"/>
    <x v="2"/>
  </r>
  <r>
    <s v="TX500438"/>
    <x v="10"/>
    <x v="2"/>
    <n v="36.5"/>
    <n v="109.5"/>
    <x v="18"/>
    <d v="2025-01-30T00:00:00"/>
    <s v="M"/>
    <x v="2"/>
    <x v="0"/>
    <s v="California"/>
    <s v="San Diego County"/>
    <x v="11"/>
    <x v="3"/>
    <x v="1"/>
  </r>
  <r>
    <s v="TX500439"/>
    <x v="8"/>
    <x v="1"/>
    <n v="47.5"/>
    <n v="95"/>
    <x v="19"/>
    <d v="2025-01-22T00:00:00"/>
    <s v="F"/>
    <x v="1"/>
    <x v="0"/>
    <s v="California"/>
    <s v="San Diego County"/>
    <x v="1"/>
    <x v="3"/>
    <x v="2"/>
  </r>
  <r>
    <s v="TX500440"/>
    <x v="6"/>
    <x v="9"/>
    <n v="45.6"/>
    <n v="228"/>
    <x v="19"/>
    <d v="2025-01-22T00:00:00"/>
    <s v="F"/>
    <x v="0"/>
    <x v="2"/>
    <s v="California"/>
    <s v="San Diego County"/>
    <x v="1"/>
    <x v="3"/>
    <x v="2"/>
  </r>
  <r>
    <s v="TX500441"/>
    <x v="9"/>
    <x v="1"/>
    <n v="50.5"/>
    <n v="101"/>
    <x v="19"/>
    <d v="2025-01-22T00:00:00"/>
    <s v="M"/>
    <x v="0"/>
    <x v="1"/>
    <s v="California"/>
    <s v="San Francisco"/>
    <x v="1"/>
    <x v="3"/>
    <x v="1"/>
  </r>
  <r>
    <s v="TX500442"/>
    <x v="2"/>
    <x v="7"/>
    <n v="99.8"/>
    <n v="998"/>
    <x v="19"/>
    <d v="2025-01-23T00:00:00"/>
    <s v="F"/>
    <x v="2"/>
    <x v="1"/>
    <s v="California"/>
    <s v="San Francisco"/>
    <x v="2"/>
    <x v="3"/>
    <x v="2"/>
  </r>
  <r>
    <s v="TX500443"/>
    <x v="8"/>
    <x v="20"/>
    <n v="19.2"/>
    <n v="288"/>
    <x v="19"/>
    <d v="2025-01-22T00:00:00"/>
    <s v="O"/>
    <x v="4"/>
    <x v="1"/>
    <s v="California"/>
    <s v="San Joaquin County"/>
    <x v="1"/>
    <x v="3"/>
    <x v="3"/>
  </r>
  <r>
    <s v="TX500444"/>
    <x v="17"/>
    <x v="2"/>
    <n v="22.6"/>
    <n v="67.800000000000011"/>
    <x v="19"/>
    <d v="2025-01-21T00:00:00"/>
    <s v="M"/>
    <x v="1"/>
    <x v="0"/>
    <s v="California"/>
    <s v="Santa Clara County"/>
    <x v="3"/>
    <x v="3"/>
    <x v="1"/>
  </r>
  <r>
    <s v="TX500445"/>
    <x v="1"/>
    <x v="20"/>
    <n v="126.9"/>
    <n v="1903.5"/>
    <x v="19"/>
    <d v="2025-01-22T00:00:00"/>
    <s v="F"/>
    <x v="0"/>
    <x v="2"/>
    <s v="California"/>
    <s v="Santa Clara County"/>
    <x v="1"/>
    <x v="3"/>
    <x v="2"/>
  </r>
  <r>
    <s v="TX500446"/>
    <x v="2"/>
    <x v="1"/>
    <n v="100.3"/>
    <n v="200.6"/>
    <x v="19"/>
    <d v="2025-01-21T00:00:00"/>
    <s v="F"/>
    <x v="0"/>
    <x v="1"/>
    <s v="California"/>
    <s v="Santa Clara County"/>
    <x v="3"/>
    <x v="3"/>
    <x v="2"/>
  </r>
  <r>
    <s v="TX500447"/>
    <x v="4"/>
    <x v="16"/>
    <n v="24.6"/>
    <n v="442.8"/>
    <x v="19"/>
    <d v="2025-01-21T00:00:00"/>
    <s v="F"/>
    <x v="4"/>
    <x v="0"/>
    <s v="California"/>
    <s v="Ventura County"/>
    <x v="3"/>
    <x v="3"/>
    <x v="2"/>
  </r>
  <r>
    <s v="TX500448"/>
    <x v="6"/>
    <x v="1"/>
    <n v="47.3"/>
    <n v="94.6"/>
    <x v="19"/>
    <d v="2025-01-21T00:00:00"/>
    <s v="M"/>
    <x v="1"/>
    <x v="2"/>
    <s v="California"/>
    <s v="Ventura County"/>
    <x v="3"/>
    <x v="3"/>
    <x v="1"/>
  </r>
  <r>
    <s v="TX500449"/>
    <x v="6"/>
    <x v="3"/>
    <n v="40.799999999999997"/>
    <n v="285.59999999999997"/>
    <x v="19"/>
    <d v="2025-01-23T00:00:00"/>
    <s v="F"/>
    <x v="2"/>
    <x v="2"/>
    <s v="California"/>
    <s v="Alameda County"/>
    <x v="2"/>
    <x v="3"/>
    <x v="2"/>
  </r>
  <r>
    <s v="TX500450"/>
    <x v="8"/>
    <x v="8"/>
    <n v="49.2"/>
    <n v="393.6"/>
    <x v="19"/>
    <d v="2025-01-22T00:00:00"/>
    <s v="F"/>
    <x v="0"/>
    <x v="0"/>
    <s v="California"/>
    <s v="Contra Costa County"/>
    <x v="1"/>
    <x v="3"/>
    <x v="2"/>
  </r>
  <r>
    <s v="TX500451"/>
    <x v="8"/>
    <x v="0"/>
    <n v="28.5"/>
    <n v="28.5"/>
    <x v="19"/>
    <d v="2025-01-22T00:00:00"/>
    <s v=""/>
    <x v="2"/>
    <x v="1"/>
    <s v="California"/>
    <s v="Los Angeles County"/>
    <x v="1"/>
    <x v="3"/>
    <x v="0"/>
  </r>
  <r>
    <s v="TX500452"/>
    <x v="18"/>
    <x v="1"/>
    <n v="36.799999999999997"/>
    <n v="73.599999999999994"/>
    <x v="19"/>
    <d v="2025-01-26T00:00:00"/>
    <s v="F"/>
    <x v="0"/>
    <x v="2"/>
    <s v="California"/>
    <s v="Los Angeles County"/>
    <x v="4"/>
    <x v="3"/>
    <x v="2"/>
  </r>
  <r>
    <s v="TX500453"/>
    <x v="7"/>
    <x v="2"/>
    <n v="33.5"/>
    <n v="100.5"/>
    <x v="19"/>
    <d v="2025-01-21T00:00:00"/>
    <s v="F"/>
    <x v="0"/>
    <x v="1"/>
    <s v="California"/>
    <s v="Los Angeles County"/>
    <x v="3"/>
    <x v="3"/>
    <x v="2"/>
  </r>
  <r>
    <s v="TX500454"/>
    <x v="6"/>
    <x v="13"/>
    <n v="62.5"/>
    <n v="375"/>
    <x v="19"/>
    <d v="2025-01-22T00:00:00"/>
    <s v="F"/>
    <x v="0"/>
    <x v="0"/>
    <s v="California"/>
    <s v="Los Angeles County"/>
    <x v="1"/>
    <x v="3"/>
    <x v="2"/>
  </r>
  <r>
    <s v="TX500455"/>
    <x v="8"/>
    <x v="29"/>
    <n v="47.9"/>
    <n v="1916"/>
    <x v="19"/>
    <d v="2025-01-21T00:00:00"/>
    <s v="F"/>
    <x v="3"/>
    <x v="0"/>
    <s v="California"/>
    <s v="Los Angeles County"/>
    <x v="3"/>
    <x v="3"/>
    <x v="2"/>
  </r>
  <r>
    <s v="TX500456"/>
    <x v="6"/>
    <x v="13"/>
    <n v="92.9"/>
    <n v="557.40000000000009"/>
    <x v="19"/>
    <d v="2025-01-31T00:00:00"/>
    <s v="F"/>
    <x v="0"/>
    <x v="4"/>
    <s v="California"/>
    <s v="Los Angeles County"/>
    <x v="11"/>
    <x v="3"/>
    <x v="2"/>
  </r>
  <r>
    <s v="TX500457"/>
    <x v="12"/>
    <x v="2"/>
    <n v="44.1"/>
    <n v="132.30000000000001"/>
    <x v="19"/>
    <d v="2025-01-20T00:00:00"/>
    <s v="F"/>
    <x v="1"/>
    <x v="1"/>
    <s v="California"/>
    <s v="Marin County"/>
    <x v="7"/>
    <x v="3"/>
    <x v="2"/>
  </r>
  <r>
    <s v="TX500458"/>
    <x v="0"/>
    <x v="0"/>
    <n v="11.4"/>
    <n v="11.4"/>
    <x v="20"/>
    <d v="2025-01-23T00:00:00"/>
    <s v="F"/>
    <x v="2"/>
    <x v="0"/>
    <s v="California"/>
    <s v="Placer County"/>
    <x v="1"/>
    <x v="3"/>
    <x v="2"/>
  </r>
  <r>
    <s v="TX500459"/>
    <x v="6"/>
    <x v="0"/>
    <n v="83.7"/>
    <n v="83.7"/>
    <x v="20"/>
    <d v="2025-01-23T00:00:00"/>
    <s v="F"/>
    <x v="0"/>
    <x v="2"/>
    <s v="California"/>
    <s v="Sacramento County"/>
    <x v="1"/>
    <x v="3"/>
    <x v="2"/>
  </r>
  <r>
    <s v="TX500460"/>
    <x v="10"/>
    <x v="1"/>
    <n v="23.2"/>
    <n v="46.4"/>
    <x v="20"/>
    <d v="2025-01-22T00:00:00"/>
    <s v="M"/>
    <x v="2"/>
    <x v="0"/>
    <s v="California"/>
    <s v="San Diego County"/>
    <x v="3"/>
    <x v="3"/>
    <x v="1"/>
  </r>
  <r>
    <s v="TX500461"/>
    <x v="2"/>
    <x v="0"/>
    <n v="162.1"/>
    <n v="162.1"/>
    <x v="20"/>
    <d v="2025-01-24T00:00:00"/>
    <s v="F"/>
    <x v="0"/>
    <x v="2"/>
    <s v="California"/>
    <s v="San Mateo County"/>
    <x v="2"/>
    <x v="3"/>
    <x v="2"/>
  </r>
  <r>
    <s v="TX500462"/>
    <x v="6"/>
    <x v="12"/>
    <n v="49.2"/>
    <n v="196.8"/>
    <x v="20"/>
    <d v="2025-01-25T00:00:00"/>
    <s v="M"/>
    <x v="1"/>
    <x v="0"/>
    <s v="California"/>
    <s v="San Mateo County"/>
    <x v="5"/>
    <x v="3"/>
    <x v="1"/>
  </r>
  <r>
    <s v="TX500463"/>
    <x v="1"/>
    <x v="1"/>
    <n v="61"/>
    <n v="122"/>
    <x v="20"/>
    <d v="2025-01-22T00:00:00"/>
    <s v="M"/>
    <x v="3"/>
    <x v="0"/>
    <s v="California"/>
    <s v="Santa Barbara County"/>
    <x v="3"/>
    <x v="3"/>
    <x v="1"/>
  </r>
  <r>
    <s v="TX500464"/>
    <x v="2"/>
    <x v="7"/>
    <n v="53.1"/>
    <n v="531"/>
    <x v="20"/>
    <d v="2025-01-23T00:00:00"/>
    <s v="M"/>
    <x v="0"/>
    <x v="0"/>
    <s v="California"/>
    <s v="Santa Clara County"/>
    <x v="1"/>
    <x v="3"/>
    <x v="1"/>
  </r>
  <r>
    <s v="TX500465"/>
    <x v="4"/>
    <x v="1"/>
    <n v="22.4"/>
    <n v="44.8"/>
    <x v="20"/>
    <d v="2025-01-23T00:00:00"/>
    <s v=""/>
    <x v="1"/>
    <x v="2"/>
    <s v="California"/>
    <s v="Ventura County"/>
    <x v="1"/>
    <x v="3"/>
    <x v="0"/>
  </r>
  <r>
    <s v="TX500466"/>
    <x v="1"/>
    <x v="9"/>
    <n v="75.3"/>
    <n v="376.5"/>
    <x v="20"/>
    <d v="2025-01-22T00:00:00"/>
    <s v="M"/>
    <x v="0"/>
    <x v="0"/>
    <s v="California"/>
    <s v="Alameda County"/>
    <x v="3"/>
    <x v="3"/>
    <x v="1"/>
  </r>
  <r>
    <s v="TX500467"/>
    <x v="6"/>
    <x v="0"/>
    <n v="48.5"/>
    <n v="48.5"/>
    <x v="20"/>
    <d v="2025-01-22T00:00:00"/>
    <s v="F"/>
    <x v="0"/>
    <x v="1"/>
    <s v="California"/>
    <s v="Alameda County"/>
    <x v="3"/>
    <x v="3"/>
    <x v="2"/>
  </r>
  <r>
    <s v="TX500468"/>
    <x v="6"/>
    <x v="0"/>
    <n v="42.6"/>
    <n v="42.6"/>
    <x v="20"/>
    <d v="2025-01-25T00:00:00"/>
    <s v="F"/>
    <x v="3"/>
    <x v="0"/>
    <s v="California"/>
    <s v="Contra Costa County"/>
    <x v="5"/>
    <x v="3"/>
    <x v="2"/>
  </r>
  <r>
    <s v="TX500469"/>
    <x v="5"/>
    <x v="9"/>
    <n v="49"/>
    <n v="245"/>
    <x v="20"/>
    <d v="2025-01-22T00:00:00"/>
    <s v="M"/>
    <x v="0"/>
    <x v="0"/>
    <s v="California"/>
    <s v="Kern County"/>
    <x v="3"/>
    <x v="3"/>
    <x v="1"/>
  </r>
  <r>
    <s v="TX500470"/>
    <x v="8"/>
    <x v="2"/>
    <n v="31.3"/>
    <n v="93.9"/>
    <x v="20"/>
    <d v="2025-01-22T00:00:00"/>
    <s v="M"/>
    <x v="2"/>
    <x v="1"/>
    <s v="California"/>
    <s v="Los Angeles County"/>
    <x v="3"/>
    <x v="3"/>
    <x v="1"/>
  </r>
  <r>
    <s v="TX500471"/>
    <x v="2"/>
    <x v="1"/>
    <n v="85.4"/>
    <n v="170.8"/>
    <x v="20"/>
    <d v="2025-01-22T00:00:00"/>
    <s v="F"/>
    <x v="2"/>
    <x v="0"/>
    <s v="California"/>
    <s v="Los Angeles County"/>
    <x v="3"/>
    <x v="3"/>
    <x v="2"/>
  </r>
  <r>
    <s v="TX500472"/>
    <x v="8"/>
    <x v="12"/>
    <n v="40"/>
    <n v="160"/>
    <x v="20"/>
    <d v="2025-01-22T00:00:00"/>
    <s v="O"/>
    <x v="0"/>
    <x v="2"/>
    <s v="California"/>
    <s v="Los Angeles County"/>
    <x v="3"/>
    <x v="3"/>
    <x v="3"/>
  </r>
  <r>
    <s v="TX500473"/>
    <x v="5"/>
    <x v="1"/>
    <n v="38.5"/>
    <n v="77"/>
    <x v="20"/>
    <d v="2025-01-24T00:00:00"/>
    <s v="M"/>
    <x v="1"/>
    <x v="2"/>
    <s v="California"/>
    <s v="Los Angeles County"/>
    <x v="2"/>
    <x v="3"/>
    <x v="1"/>
  </r>
  <r>
    <s v="TX500474"/>
    <x v="2"/>
    <x v="1"/>
    <n v="57.8"/>
    <n v="115.6"/>
    <x v="20"/>
    <d v="2025-01-22T00:00:00"/>
    <s v=""/>
    <x v="0"/>
    <x v="0"/>
    <s v="California"/>
    <s v="Los Angeles County"/>
    <x v="3"/>
    <x v="3"/>
    <x v="0"/>
  </r>
  <r>
    <s v="TX500475"/>
    <x v="8"/>
    <x v="0"/>
    <n v="19.2"/>
    <n v="19.2"/>
    <x v="20"/>
    <d v="2025-01-22T00:00:00"/>
    <s v="F"/>
    <x v="0"/>
    <x v="4"/>
    <s v="California"/>
    <s v="Los Angeles County"/>
    <x v="3"/>
    <x v="3"/>
    <x v="2"/>
  </r>
  <r>
    <s v="TX500476"/>
    <x v="6"/>
    <x v="13"/>
    <n v="114.8"/>
    <n v="688.8"/>
    <x v="20"/>
    <d v="2025-01-24T00:00:00"/>
    <s v="M"/>
    <x v="1"/>
    <x v="1"/>
    <s v="California"/>
    <s v="Los Angeles County"/>
    <x v="2"/>
    <x v="3"/>
    <x v="1"/>
  </r>
  <r>
    <s v="TX500477"/>
    <x v="10"/>
    <x v="3"/>
    <n v="48.4"/>
    <n v="338.8"/>
    <x v="20"/>
    <d v="2025-01-24T00:00:00"/>
    <s v="F"/>
    <x v="3"/>
    <x v="1"/>
    <s v="California"/>
    <s v="Los Angeles County"/>
    <x v="2"/>
    <x v="3"/>
    <x v="2"/>
  </r>
  <r>
    <s v="TX500478"/>
    <x v="9"/>
    <x v="9"/>
    <n v="73.2"/>
    <n v="366"/>
    <x v="20"/>
    <d v="2025-01-22T00:00:00"/>
    <s v="F"/>
    <x v="1"/>
    <x v="4"/>
    <s v="California"/>
    <s v="Los Angeles County"/>
    <x v="3"/>
    <x v="3"/>
    <x v="2"/>
  </r>
  <r>
    <s v="TX500479"/>
    <x v="15"/>
    <x v="1"/>
    <n v="48.6"/>
    <n v="97.2"/>
    <x v="20"/>
    <d v="2025-01-25T00:00:00"/>
    <s v="F"/>
    <x v="3"/>
    <x v="0"/>
    <s v="California"/>
    <s v="Los Angeles County"/>
    <x v="5"/>
    <x v="3"/>
    <x v="2"/>
  </r>
  <r>
    <s v="TX500480"/>
    <x v="0"/>
    <x v="13"/>
    <n v="48.7"/>
    <n v="292.20000000000005"/>
    <x v="20"/>
    <d v="2025-01-22T00:00:00"/>
    <s v="M"/>
    <x v="0"/>
    <x v="0"/>
    <s v="California"/>
    <s v="Los Angeles County"/>
    <x v="3"/>
    <x v="3"/>
    <x v="1"/>
  </r>
  <r>
    <s v="TX500481"/>
    <x v="4"/>
    <x v="1"/>
    <n v="32.200000000000003"/>
    <n v="64.400000000000006"/>
    <x v="20"/>
    <d v="2025-01-24T00:00:00"/>
    <s v="M"/>
    <x v="2"/>
    <x v="2"/>
    <s v="California"/>
    <s v="Los Angeles County"/>
    <x v="2"/>
    <x v="3"/>
    <x v="1"/>
  </r>
  <r>
    <s v="TX500482"/>
    <x v="15"/>
    <x v="8"/>
    <n v="25.8"/>
    <n v="206.4"/>
    <x v="20"/>
    <d v="2025-01-22T00:00:00"/>
    <s v="M"/>
    <x v="0"/>
    <x v="0"/>
    <s v="California"/>
    <s v="Madera County"/>
    <x v="3"/>
    <x v="3"/>
    <x v="1"/>
  </r>
  <r>
    <s v="TX500483"/>
    <x v="6"/>
    <x v="1"/>
    <n v="94.8"/>
    <n v="189.6"/>
    <x v="21"/>
    <d v="2025-01-25T00:00:00"/>
    <s v="F"/>
    <x v="1"/>
    <x v="1"/>
    <s v="California"/>
    <s v="Orange County"/>
    <x v="2"/>
    <x v="3"/>
    <x v="2"/>
  </r>
  <r>
    <s v="TX500484"/>
    <x v="15"/>
    <x v="30"/>
    <n v="56.8"/>
    <n v="1420"/>
    <x v="21"/>
    <d v="2025-01-25T00:00:00"/>
    <s v="M"/>
    <x v="0"/>
    <x v="0"/>
    <s v="California"/>
    <s v="Orange County"/>
    <x v="2"/>
    <x v="3"/>
    <x v="1"/>
  </r>
  <r>
    <s v="TX500485"/>
    <x v="8"/>
    <x v="27"/>
    <n v="18.3"/>
    <n v="292.8"/>
    <x v="21"/>
    <d v="2025-01-29T00:00:00"/>
    <s v="F"/>
    <x v="2"/>
    <x v="2"/>
    <s v="California"/>
    <s v="Riverside County"/>
    <x v="6"/>
    <x v="3"/>
    <x v="2"/>
  </r>
  <r>
    <s v="TX500486"/>
    <x v="0"/>
    <x v="2"/>
    <n v="16.8"/>
    <n v="50.400000000000006"/>
    <x v="21"/>
    <d v="2025-01-27T00:00:00"/>
    <s v="F"/>
    <x v="2"/>
    <x v="2"/>
    <s v="California"/>
    <s v="San Diego County"/>
    <x v="0"/>
    <x v="3"/>
    <x v="2"/>
  </r>
  <r>
    <s v="TX500487"/>
    <x v="5"/>
    <x v="5"/>
    <n v="35.799999999999997"/>
    <n v="393.79999999999995"/>
    <x v="21"/>
    <d v="2025-01-23T00:00:00"/>
    <s v="M"/>
    <x v="1"/>
    <x v="0"/>
    <s v="California"/>
    <s v="San Francisco"/>
    <x v="3"/>
    <x v="3"/>
    <x v="1"/>
  </r>
  <r>
    <s v="TX500488"/>
    <x v="18"/>
    <x v="0"/>
    <n v="64.900000000000006"/>
    <n v="64.900000000000006"/>
    <x v="21"/>
    <d v="2025-01-23T00:00:00"/>
    <s v="M"/>
    <x v="0"/>
    <x v="1"/>
    <s v="California"/>
    <s v="San Francisco"/>
    <x v="3"/>
    <x v="3"/>
    <x v="1"/>
  </r>
  <r>
    <s v="TX500489"/>
    <x v="18"/>
    <x v="0"/>
    <n v="28.5"/>
    <n v="28.5"/>
    <x v="21"/>
    <d v="2025-01-24T00:00:00"/>
    <s v=""/>
    <x v="1"/>
    <x v="0"/>
    <s v="California"/>
    <s v="San Mateo County"/>
    <x v="1"/>
    <x v="3"/>
    <x v="0"/>
  </r>
  <r>
    <s v="TX500490"/>
    <x v="18"/>
    <x v="1"/>
    <n v="103.5"/>
    <n v="207"/>
    <x v="21"/>
    <d v="2025-01-24T00:00:00"/>
    <s v="F"/>
    <x v="1"/>
    <x v="0"/>
    <s v="California"/>
    <s v="Santa Barbara County"/>
    <x v="1"/>
    <x v="3"/>
    <x v="2"/>
  </r>
  <r>
    <s v="TX500491"/>
    <x v="4"/>
    <x v="1"/>
    <n v="41.2"/>
    <n v="82.4"/>
    <x v="21"/>
    <d v="2025-01-23T00:00:00"/>
    <s v="F"/>
    <x v="1"/>
    <x v="0"/>
    <s v="California"/>
    <s v="Santa Barbara County"/>
    <x v="3"/>
    <x v="3"/>
    <x v="2"/>
  </r>
  <r>
    <s v="TX500492"/>
    <x v="9"/>
    <x v="0"/>
    <n v="37.799999999999997"/>
    <n v="37.799999999999997"/>
    <x v="21"/>
    <d v="2025-01-24T00:00:00"/>
    <s v="F"/>
    <x v="3"/>
    <x v="3"/>
    <s v="California"/>
    <s v="Santa Clara County"/>
    <x v="1"/>
    <x v="3"/>
    <x v="2"/>
  </r>
  <r>
    <s v="TX500493"/>
    <x v="8"/>
    <x v="1"/>
    <n v="42.6"/>
    <n v="85.2"/>
    <x v="21"/>
    <d v="2025-01-24T00:00:00"/>
    <s v="F"/>
    <x v="4"/>
    <x v="0"/>
    <s v="California"/>
    <s v="Santa Clara County"/>
    <x v="1"/>
    <x v="3"/>
    <x v="2"/>
  </r>
  <r>
    <s v="TX500494"/>
    <x v="8"/>
    <x v="7"/>
    <n v="15.2"/>
    <n v="152"/>
    <x v="21"/>
    <d v="2025-01-24T00:00:00"/>
    <s v="F"/>
    <x v="2"/>
    <x v="0"/>
    <s v="California"/>
    <s v="Santa Clara County"/>
    <x v="1"/>
    <x v="3"/>
    <x v="2"/>
  </r>
  <r>
    <s v="TX500495"/>
    <x v="7"/>
    <x v="12"/>
    <n v="83.4"/>
    <n v="333.6"/>
    <x v="21"/>
    <d v="2025-01-23T00:00:00"/>
    <s v="F"/>
    <x v="2"/>
    <x v="1"/>
    <s v="California"/>
    <s v="Sonoma County"/>
    <x v="3"/>
    <x v="3"/>
    <x v="2"/>
  </r>
  <r>
    <s v="TX500496"/>
    <x v="19"/>
    <x v="1"/>
    <n v="27.7"/>
    <n v="55.4"/>
    <x v="21"/>
    <d v="2025-01-23T00:00:00"/>
    <s v="F"/>
    <x v="0"/>
    <x v="1"/>
    <s v="California"/>
    <s v="Ventura County"/>
    <x v="3"/>
    <x v="3"/>
    <x v="2"/>
  </r>
  <r>
    <s v="TX500497"/>
    <x v="10"/>
    <x v="4"/>
    <n v="20.8"/>
    <n v="249.60000000000002"/>
    <x v="21"/>
    <d v="2025-01-23T00:00:00"/>
    <s v="M"/>
    <x v="3"/>
    <x v="0"/>
    <s v="California"/>
    <s v="Ventura County"/>
    <x v="3"/>
    <x v="3"/>
    <x v="1"/>
  </r>
  <r>
    <s v="TX500498"/>
    <x v="11"/>
    <x v="1"/>
    <n v="72.7"/>
    <n v="145.4"/>
    <x v="21"/>
    <d v="2025-01-26T00:00:00"/>
    <s v="F"/>
    <x v="4"/>
    <x v="2"/>
    <s v="California"/>
    <s v="Humboldt County"/>
    <x v="5"/>
    <x v="3"/>
    <x v="2"/>
  </r>
  <r>
    <s v="TX500499"/>
    <x v="10"/>
    <x v="12"/>
    <n v="38.6"/>
    <n v="154.4"/>
    <x v="21"/>
    <d v="2025-01-23T00:00:00"/>
    <s v="M"/>
    <x v="0"/>
    <x v="2"/>
    <s v="California"/>
    <s v="Kern County"/>
    <x v="3"/>
    <x v="3"/>
    <x v="1"/>
  </r>
  <r>
    <s v="TX500500"/>
    <x v="8"/>
    <x v="3"/>
    <n v="33.1"/>
    <n v="231.70000000000002"/>
    <x v="21"/>
    <d v="2025-01-23T00:00:00"/>
    <s v="O"/>
    <x v="4"/>
    <x v="3"/>
    <s v="California"/>
    <s v="Los Angeles County"/>
    <x v="3"/>
    <x v="3"/>
    <x v="3"/>
  </r>
  <r>
    <s v="TX500501"/>
    <x v="10"/>
    <x v="1"/>
    <n v="30.5"/>
    <n v="61"/>
    <x v="21"/>
    <d v="2025-01-22T00:00:00"/>
    <s v=""/>
    <x v="1"/>
    <x v="1"/>
    <s v="California"/>
    <s v="Los Angeles County"/>
    <x v="7"/>
    <x v="3"/>
    <x v="0"/>
  </r>
  <r>
    <s v="TX500502"/>
    <x v="9"/>
    <x v="1"/>
    <n v="69.599999999999994"/>
    <n v="139.19999999999999"/>
    <x v="21"/>
    <d v="2025-01-23T00:00:00"/>
    <s v="M"/>
    <x v="0"/>
    <x v="1"/>
    <s v="California"/>
    <s v="Los Angeles County"/>
    <x v="3"/>
    <x v="3"/>
    <x v="1"/>
  </r>
  <r>
    <s v="TX500503"/>
    <x v="11"/>
    <x v="0"/>
    <n v="42.4"/>
    <n v="42.4"/>
    <x v="21"/>
    <d v="2025-01-26T00:00:00"/>
    <s v="F"/>
    <x v="1"/>
    <x v="0"/>
    <s v="California"/>
    <s v="Los Angeles County"/>
    <x v="5"/>
    <x v="3"/>
    <x v="2"/>
  </r>
  <r>
    <s v="TX500504"/>
    <x v="17"/>
    <x v="0"/>
    <n v="32.200000000000003"/>
    <n v="32.200000000000003"/>
    <x v="21"/>
    <d v="2025-01-25T00:00:00"/>
    <s v="F"/>
    <x v="2"/>
    <x v="1"/>
    <s v="California"/>
    <s v="Los Angeles County"/>
    <x v="2"/>
    <x v="3"/>
    <x v="2"/>
  </r>
  <r>
    <s v="TX500505"/>
    <x v="6"/>
    <x v="1"/>
    <n v="41.5"/>
    <n v="83"/>
    <x v="21"/>
    <d v="2025-01-25T00:00:00"/>
    <s v="F"/>
    <x v="0"/>
    <x v="2"/>
    <s v="California"/>
    <s v="Los Angeles County"/>
    <x v="2"/>
    <x v="3"/>
    <x v="2"/>
  </r>
  <r>
    <s v="TX500506"/>
    <x v="16"/>
    <x v="11"/>
    <n v="58.9"/>
    <n v="530.1"/>
    <x v="21"/>
    <d v="2025-01-26T00:00:00"/>
    <s v="F"/>
    <x v="3"/>
    <x v="0"/>
    <s v="California"/>
    <s v="Los Angeles County"/>
    <x v="5"/>
    <x v="3"/>
    <x v="2"/>
  </r>
  <r>
    <s v="TX500507"/>
    <x v="2"/>
    <x v="0"/>
    <n v="57.1"/>
    <n v="57.1"/>
    <x v="21"/>
    <d v="2025-01-25T00:00:00"/>
    <s v="F"/>
    <x v="1"/>
    <x v="0"/>
    <s v="California"/>
    <s v="Los Angeles County"/>
    <x v="2"/>
    <x v="3"/>
    <x v="2"/>
  </r>
  <r>
    <s v="TX500508"/>
    <x v="6"/>
    <x v="0"/>
    <n v="57.2"/>
    <n v="57.2"/>
    <x v="21"/>
    <d v="2025-01-24T00:00:00"/>
    <s v="M"/>
    <x v="1"/>
    <x v="0"/>
    <s v="California"/>
    <s v="Los Angeles County"/>
    <x v="1"/>
    <x v="3"/>
    <x v="1"/>
  </r>
  <r>
    <s v="TX500509"/>
    <x v="8"/>
    <x v="1"/>
    <n v="35.1"/>
    <n v="70.2"/>
    <x v="21"/>
    <d v="2025-01-23T00:00:00"/>
    <s v="M"/>
    <x v="1"/>
    <x v="0"/>
    <s v="California"/>
    <s v="Sacramento County"/>
    <x v="3"/>
    <x v="3"/>
    <x v="1"/>
  </r>
  <r>
    <s v="TX500510"/>
    <x v="1"/>
    <x v="0"/>
    <n v="52.1"/>
    <n v="52.1"/>
    <x v="21"/>
    <d v="2025-01-24T00:00:00"/>
    <s v="F"/>
    <x v="4"/>
    <x v="1"/>
    <s v="California"/>
    <s v="San Diego County"/>
    <x v="1"/>
    <x v="3"/>
    <x v="2"/>
  </r>
  <r>
    <s v="TX500511"/>
    <x v="13"/>
    <x v="2"/>
    <n v="59.8"/>
    <n v="179.39999999999998"/>
    <x v="21"/>
    <d v="2025-01-24T00:00:00"/>
    <s v="F"/>
    <x v="4"/>
    <x v="1"/>
    <s v="California"/>
    <s v="San Diego County"/>
    <x v="1"/>
    <x v="3"/>
    <x v="2"/>
  </r>
  <r>
    <s v="TX500512"/>
    <x v="3"/>
    <x v="12"/>
    <n v="83.3"/>
    <n v="333.2"/>
    <x v="21"/>
    <d v="2025-01-22T00:00:00"/>
    <s v=""/>
    <x v="2"/>
    <x v="0"/>
    <s v="California"/>
    <s v="San Diego County"/>
    <x v="7"/>
    <x v="3"/>
    <x v="0"/>
  </r>
  <r>
    <s v="TX500513"/>
    <x v="15"/>
    <x v="4"/>
    <n v="41.3"/>
    <n v="495.59999999999997"/>
    <x v="21"/>
    <d v="2025-01-23T00:00:00"/>
    <s v="F"/>
    <x v="1"/>
    <x v="0"/>
    <s v="California"/>
    <s v="San Diego County"/>
    <x v="3"/>
    <x v="3"/>
    <x v="2"/>
  </r>
  <r>
    <s v="TX500514"/>
    <x v="8"/>
    <x v="9"/>
    <n v="16"/>
    <n v="80"/>
    <x v="21"/>
    <d v="2025-01-24T00:00:00"/>
    <s v="M"/>
    <x v="4"/>
    <x v="1"/>
    <s v="California"/>
    <s v="San Mateo County"/>
    <x v="1"/>
    <x v="3"/>
    <x v="1"/>
  </r>
  <r>
    <s v="TX500515"/>
    <x v="10"/>
    <x v="1"/>
    <n v="20.8"/>
    <n v="41.6"/>
    <x v="22"/>
    <d v="2025-01-25T00:00:00"/>
    <s v="M"/>
    <x v="0"/>
    <x v="2"/>
    <s v="California"/>
    <s v="Santa Clara County"/>
    <x v="1"/>
    <x v="3"/>
    <x v="1"/>
  </r>
  <r>
    <s v="TX500516"/>
    <x v="8"/>
    <x v="31"/>
    <n v="27.1"/>
    <n v="758.80000000000007"/>
    <x v="22"/>
    <d v="2025-01-24T00:00:00"/>
    <s v=""/>
    <x v="3"/>
    <x v="2"/>
    <s v="California"/>
    <s v="Santa Clara County"/>
    <x v="3"/>
    <x v="3"/>
    <x v="0"/>
  </r>
  <r>
    <s v="TX500517"/>
    <x v="10"/>
    <x v="1"/>
    <n v="38.9"/>
    <n v="77.8"/>
    <x v="22"/>
    <d v="2025-01-25T00:00:00"/>
    <s v="F"/>
    <x v="0"/>
    <x v="0"/>
    <s v="California"/>
    <s v="Sonoma County"/>
    <x v="1"/>
    <x v="3"/>
    <x v="2"/>
  </r>
  <r>
    <s v="TX500518"/>
    <x v="0"/>
    <x v="1"/>
    <n v="10.8"/>
    <n v="21.6"/>
    <x v="22"/>
    <d v="2025-01-26T00:00:00"/>
    <s v="F"/>
    <x v="1"/>
    <x v="2"/>
    <s v="California"/>
    <s v="Trinity County"/>
    <x v="2"/>
    <x v="3"/>
    <x v="2"/>
  </r>
  <r>
    <s v="TX500519"/>
    <x v="4"/>
    <x v="15"/>
    <n v="48.4"/>
    <n v="629.19999999999993"/>
    <x v="22"/>
    <d v="2025-01-27T00:00:00"/>
    <s v="F"/>
    <x v="0"/>
    <x v="0"/>
    <s v="California"/>
    <s v="Alameda County"/>
    <x v="5"/>
    <x v="3"/>
    <x v="2"/>
  </r>
  <r>
    <s v="TX500520"/>
    <x v="4"/>
    <x v="2"/>
    <n v="29.2"/>
    <n v="87.6"/>
    <x v="22"/>
    <d v="2025-01-26T00:00:00"/>
    <s v="F"/>
    <x v="1"/>
    <x v="1"/>
    <s v="California"/>
    <s v="Fresno County"/>
    <x v="2"/>
    <x v="3"/>
    <x v="2"/>
  </r>
  <r>
    <s v="TX500521"/>
    <x v="4"/>
    <x v="1"/>
    <n v="25.1"/>
    <n v="50.2"/>
    <x v="22"/>
    <d v="2025-01-24T00:00:00"/>
    <s v="M"/>
    <x v="0"/>
    <x v="1"/>
    <s v="California"/>
    <s v="Fresno County"/>
    <x v="3"/>
    <x v="3"/>
    <x v="1"/>
  </r>
  <r>
    <s v="TX500522"/>
    <x v="7"/>
    <x v="2"/>
    <n v="65.599999999999994"/>
    <n v="196.79999999999998"/>
    <x v="22"/>
    <d v="2025-01-23T00:00:00"/>
    <s v="F"/>
    <x v="2"/>
    <x v="1"/>
    <s v="California"/>
    <s v="Los Angeles County"/>
    <x v="7"/>
    <x v="3"/>
    <x v="2"/>
  </r>
  <r>
    <s v="TX500523"/>
    <x v="2"/>
    <x v="1"/>
    <n v="57.3"/>
    <n v="114.6"/>
    <x v="22"/>
    <d v="2025-01-23T00:00:00"/>
    <s v=""/>
    <x v="0"/>
    <x v="0"/>
    <s v="California"/>
    <s v="Los Angeles County"/>
    <x v="7"/>
    <x v="3"/>
    <x v="0"/>
  </r>
  <r>
    <s v="TX500524"/>
    <x v="9"/>
    <x v="12"/>
    <n v="22.4"/>
    <n v="89.6"/>
    <x v="22"/>
    <d v="2025-01-24T00:00:00"/>
    <s v="F"/>
    <x v="2"/>
    <x v="2"/>
    <s v="California"/>
    <s v="Los Angeles County"/>
    <x v="3"/>
    <x v="3"/>
    <x v="2"/>
  </r>
  <r>
    <s v="TX500525"/>
    <x v="12"/>
    <x v="11"/>
    <n v="45.7"/>
    <n v="411.3"/>
    <x v="22"/>
    <d v="2025-01-24T00:00:00"/>
    <s v="F"/>
    <x v="0"/>
    <x v="0"/>
    <s v="California"/>
    <s v="Los Angeles County"/>
    <x v="3"/>
    <x v="3"/>
    <x v="2"/>
  </r>
  <r>
    <s v="TX500526"/>
    <x v="8"/>
    <x v="1"/>
    <n v="29.3"/>
    <n v="58.6"/>
    <x v="22"/>
    <d v="2025-01-24T00:00:00"/>
    <s v="M"/>
    <x v="1"/>
    <x v="0"/>
    <s v="California"/>
    <s v="Los Angeles County"/>
    <x v="3"/>
    <x v="3"/>
    <x v="1"/>
  </r>
  <r>
    <s v="TX500527"/>
    <x v="18"/>
    <x v="32"/>
    <n v="74"/>
    <n v="1628"/>
    <x v="22"/>
    <d v="2025-01-24T00:00:00"/>
    <s v="M"/>
    <x v="0"/>
    <x v="2"/>
    <s v="California"/>
    <s v="Los Angeles County"/>
    <x v="3"/>
    <x v="3"/>
    <x v="1"/>
  </r>
  <r>
    <s v="TX500528"/>
    <x v="14"/>
    <x v="1"/>
    <n v="39.200000000000003"/>
    <n v="78.400000000000006"/>
    <x v="22"/>
    <d v="2025-01-25T00:00:00"/>
    <s v="F"/>
    <x v="1"/>
    <x v="0"/>
    <s v="California"/>
    <s v="Los Angeles County"/>
    <x v="1"/>
    <x v="3"/>
    <x v="2"/>
  </r>
  <r>
    <s v="TX500529"/>
    <x v="4"/>
    <x v="14"/>
    <n v="62.7"/>
    <n v="1065.9000000000001"/>
    <x v="22"/>
    <d v="2025-01-24T00:00:00"/>
    <s v="F"/>
    <x v="2"/>
    <x v="1"/>
    <s v="California"/>
    <s v="Los Angeles County"/>
    <x v="3"/>
    <x v="3"/>
    <x v="2"/>
  </r>
  <r>
    <s v="TX500530"/>
    <x v="10"/>
    <x v="1"/>
    <n v="60.1"/>
    <n v="120.2"/>
    <x v="22"/>
    <d v="2025-01-24T00:00:00"/>
    <s v="F"/>
    <x v="3"/>
    <x v="0"/>
    <s v="California"/>
    <s v="Los Angeles County"/>
    <x v="3"/>
    <x v="3"/>
    <x v="2"/>
  </r>
  <r>
    <s v="TX500531"/>
    <x v="0"/>
    <x v="12"/>
    <n v="11.2"/>
    <n v="44.8"/>
    <x v="22"/>
    <d v="2025-01-24T00:00:00"/>
    <s v="F"/>
    <x v="3"/>
    <x v="1"/>
    <s v="California"/>
    <s v="Los Angeles County"/>
    <x v="3"/>
    <x v="3"/>
    <x v="2"/>
  </r>
  <r>
    <s v="TX500532"/>
    <x v="8"/>
    <x v="1"/>
    <n v="22.9"/>
    <n v="45.8"/>
    <x v="22"/>
    <d v="2025-01-24T00:00:00"/>
    <s v="F"/>
    <x v="0"/>
    <x v="0"/>
    <s v="California"/>
    <s v="Sacramento County"/>
    <x v="3"/>
    <x v="3"/>
    <x v="2"/>
  </r>
  <r>
    <s v="TX500533"/>
    <x v="1"/>
    <x v="1"/>
    <n v="37.6"/>
    <n v="75.2"/>
    <x v="22"/>
    <d v="2025-01-26T00:00:00"/>
    <s v="F"/>
    <x v="0"/>
    <x v="0"/>
    <s v="California"/>
    <s v="Sacramento County"/>
    <x v="2"/>
    <x v="3"/>
    <x v="2"/>
  </r>
  <r>
    <s v="TX500534"/>
    <x v="6"/>
    <x v="0"/>
    <n v="42.4"/>
    <n v="42.4"/>
    <x v="22"/>
    <d v="2025-01-24T00:00:00"/>
    <s v="F"/>
    <x v="3"/>
    <x v="2"/>
    <s v="California"/>
    <s v="Sacramento County"/>
    <x v="3"/>
    <x v="3"/>
    <x v="2"/>
  </r>
  <r>
    <s v="TX500535"/>
    <x v="8"/>
    <x v="1"/>
    <n v="19.600000000000001"/>
    <n v="39.200000000000003"/>
    <x v="22"/>
    <d v="2025-01-27T00:00:00"/>
    <s v="F"/>
    <x v="2"/>
    <x v="0"/>
    <s v="California"/>
    <s v="San Bernardino County"/>
    <x v="5"/>
    <x v="3"/>
    <x v="2"/>
  </r>
  <r>
    <s v="TX500536"/>
    <x v="9"/>
    <x v="0"/>
    <n v="90.5"/>
    <n v="90.5"/>
    <x v="22"/>
    <d v="2025-01-26T00:00:00"/>
    <s v="F"/>
    <x v="2"/>
    <x v="0"/>
    <s v="California"/>
    <s v="San Bernardino County"/>
    <x v="2"/>
    <x v="3"/>
    <x v="2"/>
  </r>
  <r>
    <s v="TX500537"/>
    <x v="16"/>
    <x v="5"/>
    <n v="33.9"/>
    <n v="372.9"/>
    <x v="22"/>
    <d v="2025-01-24T00:00:00"/>
    <s v="M"/>
    <x v="2"/>
    <x v="1"/>
    <s v="California"/>
    <s v="San Bernardino County"/>
    <x v="3"/>
    <x v="3"/>
    <x v="1"/>
  </r>
  <r>
    <s v="TX500538"/>
    <x v="0"/>
    <x v="1"/>
    <n v="32.799999999999997"/>
    <n v="65.599999999999994"/>
    <x v="22"/>
    <d v="2025-01-25T00:00:00"/>
    <s v="F"/>
    <x v="4"/>
    <x v="4"/>
    <s v="California"/>
    <s v="San Diego County"/>
    <x v="1"/>
    <x v="3"/>
    <x v="2"/>
  </r>
  <r>
    <s v="TX500539"/>
    <x v="15"/>
    <x v="0"/>
    <n v="49.9"/>
    <n v="49.9"/>
    <x v="22"/>
    <d v="2025-01-24T00:00:00"/>
    <s v="M"/>
    <x v="3"/>
    <x v="1"/>
    <s v="California"/>
    <s v="San Diego County"/>
    <x v="3"/>
    <x v="3"/>
    <x v="1"/>
  </r>
  <r>
    <s v="TX500540"/>
    <x v="7"/>
    <x v="9"/>
    <n v="79.2"/>
    <n v="396"/>
    <x v="22"/>
    <d v="2025-01-24T00:00:00"/>
    <s v="F"/>
    <x v="4"/>
    <x v="0"/>
    <s v="California"/>
    <s v="San Diego County"/>
    <x v="3"/>
    <x v="3"/>
    <x v="2"/>
  </r>
  <r>
    <s v="TX500541"/>
    <x v="8"/>
    <x v="27"/>
    <n v="19.5"/>
    <n v="312"/>
    <x v="22"/>
    <d v="2025-01-25T00:00:00"/>
    <s v="M"/>
    <x v="3"/>
    <x v="2"/>
    <s v="California"/>
    <s v="San Diego County"/>
    <x v="1"/>
    <x v="3"/>
    <x v="1"/>
  </r>
  <r>
    <s v="TX500542"/>
    <x v="8"/>
    <x v="12"/>
    <n v="18"/>
    <n v="72"/>
    <x v="22"/>
    <d v="2025-01-24T00:00:00"/>
    <s v="M"/>
    <x v="1"/>
    <x v="0"/>
    <s v="California"/>
    <s v="Santa Barbara County"/>
    <x v="3"/>
    <x v="3"/>
    <x v="1"/>
  </r>
  <r>
    <s v="TX500543"/>
    <x v="9"/>
    <x v="2"/>
    <n v="45.9"/>
    <n v="137.69999999999999"/>
    <x v="22"/>
    <d v="2025-01-25T00:00:00"/>
    <s v="F"/>
    <x v="1"/>
    <x v="1"/>
    <s v="California"/>
    <s v="Santa Barbara County"/>
    <x v="1"/>
    <x v="3"/>
    <x v="2"/>
  </r>
  <r>
    <s v="TX500544"/>
    <x v="11"/>
    <x v="0"/>
    <n v="41.2"/>
    <n v="41.2"/>
    <x v="22"/>
    <d v="2025-01-25T00:00:00"/>
    <s v="F"/>
    <x v="1"/>
    <x v="2"/>
    <s v="California"/>
    <s v="Santa Clara County"/>
    <x v="1"/>
    <x v="3"/>
    <x v="2"/>
  </r>
  <r>
    <s v="TX500545"/>
    <x v="2"/>
    <x v="7"/>
    <n v="167.2"/>
    <n v="1672"/>
    <x v="22"/>
    <d v="2025-01-25T00:00:00"/>
    <s v="F"/>
    <x v="2"/>
    <x v="2"/>
    <s v="California"/>
    <s v="Santa Cruz County"/>
    <x v="1"/>
    <x v="3"/>
    <x v="2"/>
  </r>
  <r>
    <s v="TX500546"/>
    <x v="6"/>
    <x v="17"/>
    <n v="74.5"/>
    <n v="2235"/>
    <x v="23"/>
    <d v="2025-01-27T00:00:00"/>
    <s v="F"/>
    <x v="1"/>
    <x v="2"/>
    <s v="California"/>
    <s v="Solano County"/>
    <x v="2"/>
    <x v="3"/>
    <x v="2"/>
  </r>
  <r>
    <s v="TX500547"/>
    <x v="7"/>
    <x v="12"/>
    <n v="39.299999999999997"/>
    <n v="157.19999999999999"/>
    <x v="23"/>
    <d v="2025-01-25T00:00:00"/>
    <s v=""/>
    <x v="2"/>
    <x v="0"/>
    <s v="California"/>
    <s v="Stanislaus County"/>
    <x v="3"/>
    <x v="3"/>
    <x v="0"/>
  </r>
  <r>
    <s v="TX500548"/>
    <x v="9"/>
    <x v="0"/>
    <n v="68.5"/>
    <n v="68.5"/>
    <x v="23"/>
    <d v="2025-01-27T00:00:00"/>
    <s v="M"/>
    <x v="1"/>
    <x v="2"/>
    <s v="California"/>
    <s v="Tehama County"/>
    <x v="2"/>
    <x v="3"/>
    <x v="1"/>
  </r>
  <r>
    <s v="TX500549"/>
    <x v="0"/>
    <x v="2"/>
    <n v="22.5"/>
    <n v="67.5"/>
    <x v="23"/>
    <d v="2025-01-24T00:00:00"/>
    <s v="F"/>
    <x v="4"/>
    <x v="0"/>
    <s v="California"/>
    <s v="Ventura County"/>
    <x v="7"/>
    <x v="3"/>
    <x v="2"/>
  </r>
  <r>
    <s v="TX500550"/>
    <x v="1"/>
    <x v="0"/>
    <n v="48"/>
    <n v="48"/>
    <x v="23"/>
    <d v="2025-01-25T00:00:00"/>
    <s v="O"/>
    <x v="4"/>
    <x v="1"/>
    <s v="California"/>
    <s v="Amador County"/>
    <x v="3"/>
    <x v="3"/>
    <x v="3"/>
  </r>
  <r>
    <s v="TX500551"/>
    <x v="6"/>
    <x v="0"/>
    <n v="94"/>
    <n v="94"/>
    <x v="23"/>
    <d v="2025-01-25T00:00:00"/>
    <s v="M"/>
    <x v="3"/>
    <x v="1"/>
    <s v="California"/>
    <s v="Contra Costa County"/>
    <x v="3"/>
    <x v="3"/>
    <x v="1"/>
  </r>
  <r>
    <s v="TX500552"/>
    <x v="8"/>
    <x v="2"/>
    <n v="21.9"/>
    <n v="65.699999999999989"/>
    <x v="23"/>
    <d v="2025-01-25T00:00:00"/>
    <s v="F"/>
    <x v="0"/>
    <x v="0"/>
    <s v="California"/>
    <s v="Humboldt County"/>
    <x v="3"/>
    <x v="3"/>
    <x v="2"/>
  </r>
  <r>
    <s v="TX500553"/>
    <x v="6"/>
    <x v="3"/>
    <n v="64.900000000000006"/>
    <n v="454.30000000000007"/>
    <x v="23"/>
    <d v="2025-01-25T00:00:00"/>
    <s v="F"/>
    <x v="0"/>
    <x v="0"/>
    <s v="California"/>
    <s v="Los Angeles County"/>
    <x v="3"/>
    <x v="3"/>
    <x v="2"/>
  </r>
  <r>
    <s v="TX500554"/>
    <x v="12"/>
    <x v="0"/>
    <n v="52.9"/>
    <n v="52.9"/>
    <x v="23"/>
    <d v="2025-01-24T00:00:00"/>
    <s v="F"/>
    <x v="1"/>
    <x v="1"/>
    <s v="California"/>
    <s v="Los Angeles County"/>
    <x v="7"/>
    <x v="3"/>
    <x v="2"/>
  </r>
  <r>
    <s v="TX500555"/>
    <x v="8"/>
    <x v="2"/>
    <n v="25.5"/>
    <n v="76.5"/>
    <x v="23"/>
    <d v="2025-01-25T00:00:00"/>
    <s v="F"/>
    <x v="1"/>
    <x v="2"/>
    <s v="California"/>
    <s v="Los Angeles County"/>
    <x v="3"/>
    <x v="3"/>
    <x v="2"/>
  </r>
  <r>
    <s v="TX500556"/>
    <x v="6"/>
    <x v="2"/>
    <n v="51.9"/>
    <n v="155.69999999999999"/>
    <x v="23"/>
    <d v="2025-01-25T00:00:00"/>
    <s v="F"/>
    <x v="3"/>
    <x v="0"/>
    <s v="California"/>
    <s v="Los Angeles County"/>
    <x v="3"/>
    <x v="3"/>
    <x v="2"/>
  </r>
  <r>
    <s v="TX500557"/>
    <x v="5"/>
    <x v="0"/>
    <n v="46.3"/>
    <n v="46.3"/>
    <x v="23"/>
    <d v="2025-01-27T00:00:00"/>
    <s v="F"/>
    <x v="4"/>
    <x v="0"/>
    <s v="California"/>
    <s v="Los Angeles County"/>
    <x v="2"/>
    <x v="3"/>
    <x v="2"/>
  </r>
  <r>
    <s v="TX500558"/>
    <x v="6"/>
    <x v="1"/>
    <n v="68.2"/>
    <n v="136.4"/>
    <x v="23"/>
    <d v="2025-01-26T00:00:00"/>
    <s v="F"/>
    <x v="3"/>
    <x v="0"/>
    <s v="California"/>
    <s v="Los Angeles County"/>
    <x v="1"/>
    <x v="3"/>
    <x v="2"/>
  </r>
  <r>
    <s v="TX500559"/>
    <x v="1"/>
    <x v="0"/>
    <n v="40.299999999999997"/>
    <n v="40.299999999999997"/>
    <x v="23"/>
    <d v="2025-01-25T00:00:00"/>
    <s v="M"/>
    <x v="0"/>
    <x v="1"/>
    <s v="California"/>
    <s v="Los Angeles County"/>
    <x v="3"/>
    <x v="3"/>
    <x v="1"/>
  </r>
  <r>
    <s v="TX500560"/>
    <x v="2"/>
    <x v="2"/>
    <n v="91.3"/>
    <n v="273.89999999999998"/>
    <x v="23"/>
    <d v="2025-01-29T00:00:00"/>
    <s v="M"/>
    <x v="0"/>
    <x v="2"/>
    <s v="California"/>
    <s v="Sacramento County"/>
    <x v="0"/>
    <x v="3"/>
    <x v="1"/>
  </r>
  <r>
    <s v="TX500561"/>
    <x v="0"/>
    <x v="2"/>
    <n v="11.9"/>
    <n v="35.700000000000003"/>
    <x v="23"/>
    <d v="2025-01-25T00:00:00"/>
    <s v="F"/>
    <x v="0"/>
    <x v="1"/>
    <s v="California"/>
    <s v="Sacramento County"/>
    <x v="3"/>
    <x v="3"/>
    <x v="2"/>
  </r>
  <r>
    <s v="TX500562"/>
    <x v="2"/>
    <x v="1"/>
    <n v="63.5"/>
    <n v="127"/>
    <x v="23"/>
    <d v="2025-01-26T00:00:00"/>
    <s v="M"/>
    <x v="1"/>
    <x v="0"/>
    <s v="California"/>
    <s v="Sacramento County"/>
    <x v="1"/>
    <x v="3"/>
    <x v="1"/>
  </r>
  <r>
    <s v="TX500563"/>
    <x v="4"/>
    <x v="1"/>
    <n v="27.1"/>
    <n v="54.2"/>
    <x v="23"/>
    <d v="2025-01-27T00:00:00"/>
    <s v="M"/>
    <x v="2"/>
    <x v="2"/>
    <s v="California"/>
    <s v="Sacramento County"/>
    <x v="2"/>
    <x v="3"/>
    <x v="1"/>
  </r>
  <r>
    <s v="TX500564"/>
    <x v="1"/>
    <x v="1"/>
    <n v="82.1"/>
    <n v="164.2"/>
    <x v="24"/>
    <d v="2025-01-28T00:00:00"/>
    <s v="M"/>
    <x v="1"/>
    <x v="1"/>
    <s v="California"/>
    <s v="San Bernardino County"/>
    <x v="2"/>
    <x v="3"/>
    <x v="1"/>
  </r>
  <r>
    <s v="TX500565"/>
    <x v="3"/>
    <x v="9"/>
    <n v="42.9"/>
    <n v="214.5"/>
    <x v="24"/>
    <d v="2025-01-27T00:00:00"/>
    <s v="F"/>
    <x v="1"/>
    <x v="0"/>
    <s v="California"/>
    <s v="San Diego County"/>
    <x v="1"/>
    <x v="3"/>
    <x v="2"/>
  </r>
  <r>
    <s v="TX500566"/>
    <x v="8"/>
    <x v="5"/>
    <n v="37.9"/>
    <n v="416.9"/>
    <x v="24"/>
    <d v="2025-02-01T00:00:00"/>
    <s v="M"/>
    <x v="0"/>
    <x v="0"/>
    <s v="California"/>
    <s v="San Diego County"/>
    <x v="6"/>
    <x v="3"/>
    <x v="1"/>
  </r>
  <r>
    <s v="TX500567"/>
    <x v="0"/>
    <x v="0"/>
    <n v="22.4"/>
    <n v="22.4"/>
    <x v="24"/>
    <d v="2025-01-26T00:00:00"/>
    <s v="F"/>
    <x v="0"/>
    <x v="1"/>
    <s v="California"/>
    <s v="San Francisco"/>
    <x v="3"/>
    <x v="3"/>
    <x v="2"/>
  </r>
  <r>
    <s v="TX500568"/>
    <x v="2"/>
    <x v="15"/>
    <n v="79.900000000000006"/>
    <n v="1038.7"/>
    <x v="24"/>
    <d v="2025-02-07T00:00:00"/>
    <s v="F"/>
    <x v="3"/>
    <x v="1"/>
    <s v="California"/>
    <s v="Santa Clara County"/>
    <x v="10"/>
    <x v="3"/>
    <x v="2"/>
  </r>
  <r>
    <s v="TX500569"/>
    <x v="1"/>
    <x v="0"/>
    <n v="70.599999999999994"/>
    <n v="70.599999999999994"/>
    <x v="24"/>
    <d v="2025-01-28T00:00:00"/>
    <s v="F"/>
    <x v="0"/>
    <x v="1"/>
    <s v="California"/>
    <s v="Santa Clara County"/>
    <x v="2"/>
    <x v="3"/>
    <x v="2"/>
  </r>
  <r>
    <s v="TX500570"/>
    <x v="6"/>
    <x v="0"/>
    <n v="49.5"/>
    <n v="49.5"/>
    <x v="24"/>
    <d v="2025-01-27T00:00:00"/>
    <s v="M"/>
    <x v="0"/>
    <x v="0"/>
    <s v="California"/>
    <s v="Ventura County"/>
    <x v="1"/>
    <x v="3"/>
    <x v="1"/>
  </r>
  <r>
    <s v="TX500571"/>
    <x v="2"/>
    <x v="1"/>
    <n v="96.6"/>
    <n v="193.2"/>
    <x v="24"/>
    <d v="2025-01-27T00:00:00"/>
    <s v="M"/>
    <x v="0"/>
    <x v="0"/>
    <s v="California"/>
    <s v="Alameda County"/>
    <x v="1"/>
    <x v="3"/>
    <x v="1"/>
  </r>
  <r>
    <s v="TX500572"/>
    <x v="6"/>
    <x v="1"/>
    <n v="52.8"/>
    <n v="105.6"/>
    <x v="24"/>
    <d v="2025-01-26T00:00:00"/>
    <s v="F"/>
    <x v="1"/>
    <x v="1"/>
    <s v="California"/>
    <s v="Alameda County"/>
    <x v="3"/>
    <x v="3"/>
    <x v="2"/>
  </r>
  <r>
    <s v="TX500573"/>
    <x v="2"/>
    <x v="0"/>
    <n v="101.7"/>
    <n v="101.7"/>
    <x v="24"/>
    <d v="2025-01-26T00:00:00"/>
    <s v="M"/>
    <x v="0"/>
    <x v="0"/>
    <s v="California"/>
    <s v="Contra Costa County"/>
    <x v="3"/>
    <x v="3"/>
    <x v="1"/>
  </r>
  <r>
    <s v="TX500574"/>
    <x v="4"/>
    <x v="9"/>
    <n v="26.9"/>
    <n v="134.5"/>
    <x v="24"/>
    <d v="2025-01-30T00:00:00"/>
    <s v="F"/>
    <x v="1"/>
    <x v="1"/>
    <s v="California"/>
    <s v="Kern County"/>
    <x v="0"/>
    <x v="3"/>
    <x v="2"/>
  </r>
  <r>
    <s v="TX500575"/>
    <x v="2"/>
    <x v="12"/>
    <n v="211"/>
    <n v="844"/>
    <x v="24"/>
    <d v="2025-01-25T00:00:00"/>
    <s v="F"/>
    <x v="1"/>
    <x v="1"/>
    <s v="California"/>
    <s v="Los Angeles County"/>
    <x v="7"/>
    <x v="3"/>
    <x v="2"/>
  </r>
  <r>
    <s v="TX500576"/>
    <x v="0"/>
    <x v="12"/>
    <n v="21.1"/>
    <n v="84.4"/>
    <x v="24"/>
    <d v="2025-01-28T00:00:00"/>
    <s v="M"/>
    <x v="4"/>
    <x v="0"/>
    <s v="California"/>
    <s v="Los Angeles County"/>
    <x v="2"/>
    <x v="3"/>
    <x v="1"/>
  </r>
  <r>
    <s v="TX500577"/>
    <x v="10"/>
    <x v="0"/>
    <n v="26.6"/>
    <n v="26.6"/>
    <x v="24"/>
    <d v="2025-01-27T00:00:00"/>
    <s v="M"/>
    <x v="0"/>
    <x v="4"/>
    <s v="California"/>
    <s v="Los Angeles County"/>
    <x v="1"/>
    <x v="3"/>
    <x v="1"/>
  </r>
  <r>
    <s v="TX500578"/>
    <x v="12"/>
    <x v="12"/>
    <n v="51.2"/>
    <n v="204.8"/>
    <x v="24"/>
    <d v="2025-01-26T00:00:00"/>
    <s v="F"/>
    <x v="3"/>
    <x v="0"/>
    <s v="California"/>
    <s v="Mono County"/>
    <x v="3"/>
    <x v="3"/>
    <x v="2"/>
  </r>
  <r>
    <s v="TX500579"/>
    <x v="0"/>
    <x v="9"/>
    <n v="10.6"/>
    <n v="53"/>
    <x v="24"/>
    <d v="2025-01-29T00:00:00"/>
    <s v="F"/>
    <x v="0"/>
    <x v="0"/>
    <s v="California"/>
    <s v="San Diego County"/>
    <x v="5"/>
    <x v="3"/>
    <x v="2"/>
  </r>
  <r>
    <s v="TX500580"/>
    <x v="6"/>
    <x v="2"/>
    <n v="43.4"/>
    <n v="130.19999999999999"/>
    <x v="24"/>
    <d v="2025-01-28T00:00:00"/>
    <s v="F"/>
    <x v="4"/>
    <x v="0"/>
    <s v="California"/>
    <s v="San Diego County"/>
    <x v="2"/>
    <x v="3"/>
    <x v="2"/>
  </r>
  <r>
    <s v="TX500581"/>
    <x v="12"/>
    <x v="0"/>
    <n v="80"/>
    <n v="80"/>
    <x v="24"/>
    <d v="2025-01-25T00:00:00"/>
    <s v="F"/>
    <x v="0"/>
    <x v="2"/>
    <s v="California"/>
    <s v="San Diego County"/>
    <x v="7"/>
    <x v="3"/>
    <x v="2"/>
  </r>
  <r>
    <s v="TX500582"/>
    <x v="10"/>
    <x v="12"/>
    <n v="64.7"/>
    <n v="258.8"/>
    <x v="24"/>
    <d v="2025-01-27T00:00:00"/>
    <s v="F"/>
    <x v="1"/>
    <x v="4"/>
    <s v="California"/>
    <s v="San Diego County"/>
    <x v="1"/>
    <x v="3"/>
    <x v="2"/>
  </r>
  <r>
    <s v="TX500583"/>
    <x v="8"/>
    <x v="5"/>
    <n v="26.3"/>
    <n v="289.3"/>
    <x v="25"/>
    <d v="2025-01-26T00:00:00"/>
    <s v="F"/>
    <x v="4"/>
    <x v="1"/>
    <s v="California"/>
    <s v="San Joaquin County"/>
    <x v="7"/>
    <x v="4"/>
    <x v="2"/>
  </r>
  <r>
    <s v="TX500584"/>
    <x v="10"/>
    <x v="0"/>
    <n v="28.5"/>
    <n v="28.5"/>
    <x v="25"/>
    <d v="2025-01-26T00:00:00"/>
    <s v="M"/>
    <x v="0"/>
    <x v="1"/>
    <s v="California"/>
    <s v="San Mateo County"/>
    <x v="7"/>
    <x v="4"/>
    <x v="1"/>
  </r>
  <r>
    <s v="TX500585"/>
    <x v="17"/>
    <x v="0"/>
    <n v="47.8"/>
    <n v="47.8"/>
    <x v="25"/>
    <d v="2025-01-28T00:00:00"/>
    <s v="F"/>
    <x v="0"/>
    <x v="1"/>
    <s v="California"/>
    <s v="San Mateo County"/>
    <x v="1"/>
    <x v="4"/>
    <x v="2"/>
  </r>
  <r>
    <s v="TX500586"/>
    <x v="10"/>
    <x v="2"/>
    <n v="42.8"/>
    <n v="128.39999999999998"/>
    <x v="25"/>
    <d v="2025-01-29T00:00:00"/>
    <s v="F"/>
    <x v="4"/>
    <x v="1"/>
    <s v="California"/>
    <s v="Santa Clara County"/>
    <x v="2"/>
    <x v="4"/>
    <x v="2"/>
  </r>
  <r>
    <s v="TX500587"/>
    <x v="6"/>
    <x v="9"/>
    <n v="46.8"/>
    <n v="234"/>
    <x v="25"/>
    <d v="2025-01-31T00:00:00"/>
    <s v="F"/>
    <x v="1"/>
    <x v="2"/>
    <s v="California"/>
    <s v="Santa Clara County"/>
    <x v="0"/>
    <x v="4"/>
    <x v="2"/>
  </r>
  <r>
    <s v="TX500588"/>
    <x v="1"/>
    <x v="7"/>
    <n v="64.099999999999994"/>
    <n v="641"/>
    <x v="25"/>
    <d v="2025-01-27T00:00:00"/>
    <s v="M"/>
    <x v="1"/>
    <x v="0"/>
    <s v="California"/>
    <s v="Santa Clara County"/>
    <x v="3"/>
    <x v="4"/>
    <x v="1"/>
  </r>
  <r>
    <s v="TX500589"/>
    <x v="2"/>
    <x v="0"/>
    <n v="89.1"/>
    <n v="89.1"/>
    <x v="25"/>
    <d v="2025-01-27T00:00:00"/>
    <s v="F"/>
    <x v="0"/>
    <x v="1"/>
    <s v="California"/>
    <s v="Tulare County"/>
    <x v="3"/>
    <x v="4"/>
    <x v="2"/>
  </r>
  <r>
    <s v="TX500590"/>
    <x v="2"/>
    <x v="2"/>
    <n v="83.1"/>
    <n v="249.29999999999998"/>
    <x v="25"/>
    <d v="2025-01-27T00:00:00"/>
    <s v="F"/>
    <x v="2"/>
    <x v="1"/>
    <s v="California"/>
    <s v="Ventura County"/>
    <x v="3"/>
    <x v="4"/>
    <x v="2"/>
  </r>
  <r>
    <s v="TX500591"/>
    <x v="8"/>
    <x v="2"/>
    <n v="40.9"/>
    <n v="122.69999999999999"/>
    <x v="25"/>
    <d v="2025-01-27T00:00:00"/>
    <s v="M"/>
    <x v="0"/>
    <x v="0"/>
    <s v="California"/>
    <s v="Contra Costa County"/>
    <x v="3"/>
    <x v="4"/>
    <x v="1"/>
  </r>
  <r>
    <s v="TX500592"/>
    <x v="2"/>
    <x v="1"/>
    <n v="125.7"/>
    <n v="251.4"/>
    <x v="25"/>
    <d v="2025-01-27T00:00:00"/>
    <s v="F"/>
    <x v="3"/>
    <x v="0"/>
    <s v="California"/>
    <s v="Fresno County"/>
    <x v="3"/>
    <x v="4"/>
    <x v="2"/>
  </r>
  <r>
    <s v="TX500593"/>
    <x v="3"/>
    <x v="1"/>
    <n v="30.9"/>
    <n v="61.8"/>
    <x v="25"/>
    <d v="2025-01-26T00:00:00"/>
    <s v="F"/>
    <x v="2"/>
    <x v="2"/>
    <s v="California"/>
    <s v="Kern County"/>
    <x v="7"/>
    <x v="4"/>
    <x v="2"/>
  </r>
  <r>
    <s v="TX500594"/>
    <x v="8"/>
    <x v="1"/>
    <n v="18.3"/>
    <n v="36.6"/>
    <x v="25"/>
    <d v="2025-01-27T00:00:00"/>
    <s v="F"/>
    <x v="1"/>
    <x v="0"/>
    <s v="California"/>
    <s v="Los Angeles County"/>
    <x v="3"/>
    <x v="4"/>
    <x v="2"/>
  </r>
  <r>
    <s v="TX500595"/>
    <x v="4"/>
    <x v="1"/>
    <n v="56.5"/>
    <n v="113"/>
    <x v="25"/>
    <d v="2025-01-30T00:00:00"/>
    <s v="M"/>
    <x v="2"/>
    <x v="2"/>
    <s v="California"/>
    <s v="Los Angeles County"/>
    <x v="5"/>
    <x v="4"/>
    <x v="1"/>
  </r>
  <r>
    <s v="TX500596"/>
    <x v="10"/>
    <x v="3"/>
    <n v="29.9"/>
    <n v="209.29999999999998"/>
    <x v="25"/>
    <d v="2025-01-28T00:00:00"/>
    <s v="M"/>
    <x v="4"/>
    <x v="2"/>
    <s v="California"/>
    <s v="Los Angeles County"/>
    <x v="1"/>
    <x v="4"/>
    <x v="1"/>
  </r>
  <r>
    <s v="TX500597"/>
    <x v="5"/>
    <x v="1"/>
    <n v="50.4"/>
    <n v="100.8"/>
    <x v="25"/>
    <d v="2025-01-27T00:00:00"/>
    <s v="F"/>
    <x v="2"/>
    <x v="0"/>
    <s v="California"/>
    <s v="Los Angeles County"/>
    <x v="3"/>
    <x v="4"/>
    <x v="2"/>
  </r>
  <r>
    <s v="TX500598"/>
    <x v="2"/>
    <x v="0"/>
    <n v="85.8"/>
    <n v="85.8"/>
    <x v="25"/>
    <d v="2025-01-26T00:00:00"/>
    <s v="F"/>
    <x v="2"/>
    <x v="2"/>
    <s v="California"/>
    <s v="Los Angeles County"/>
    <x v="7"/>
    <x v="4"/>
    <x v="2"/>
  </r>
  <r>
    <s v="TX500599"/>
    <x v="4"/>
    <x v="27"/>
    <n v="66.599999999999994"/>
    <n v="1065.5999999999999"/>
    <x v="25"/>
    <d v="2025-01-28T00:00:00"/>
    <s v="M"/>
    <x v="1"/>
    <x v="0"/>
    <s v="California"/>
    <s v="Los Angeles County"/>
    <x v="1"/>
    <x v="4"/>
    <x v="1"/>
  </r>
  <r>
    <s v="TX500600"/>
    <x v="6"/>
    <x v="12"/>
    <n v="70.3"/>
    <n v="281.2"/>
    <x v="25"/>
    <d v="2025-01-27T00:00:00"/>
    <s v="F"/>
    <x v="0"/>
    <x v="1"/>
    <s v="California"/>
    <s v="Los Angeles County"/>
    <x v="3"/>
    <x v="4"/>
    <x v="2"/>
  </r>
  <r>
    <s v="TX500601"/>
    <x v="8"/>
    <x v="12"/>
    <n v="31"/>
    <n v="124"/>
    <x v="25"/>
    <d v="2025-01-29T00:00:00"/>
    <s v="M"/>
    <x v="0"/>
    <x v="2"/>
    <s v="California"/>
    <s v="Los Angeles County"/>
    <x v="2"/>
    <x v="4"/>
    <x v="1"/>
  </r>
  <r>
    <s v="TX500602"/>
    <x v="7"/>
    <x v="13"/>
    <n v="81.599999999999994"/>
    <n v="489.59999999999997"/>
    <x v="25"/>
    <d v="2025-01-27T00:00:00"/>
    <s v="F"/>
    <x v="1"/>
    <x v="1"/>
    <s v="California"/>
    <s v="Madera County"/>
    <x v="3"/>
    <x v="4"/>
    <x v="2"/>
  </r>
  <r>
    <s v="TX500603"/>
    <x v="1"/>
    <x v="30"/>
    <n v="58.3"/>
    <n v="1457.5"/>
    <x v="25"/>
    <d v="2025-01-27T00:00:00"/>
    <s v="F"/>
    <x v="0"/>
    <x v="0"/>
    <s v="California"/>
    <s v="Napa County"/>
    <x v="3"/>
    <x v="4"/>
    <x v="2"/>
  </r>
  <r>
    <s v="TX500604"/>
    <x v="1"/>
    <x v="12"/>
    <n v="35.1"/>
    <n v="140.4"/>
    <x v="25"/>
    <d v="2025-01-28T00:00:00"/>
    <s v="M"/>
    <x v="0"/>
    <x v="2"/>
    <s v="California"/>
    <s v="San Diego County"/>
    <x v="1"/>
    <x v="4"/>
    <x v="1"/>
  </r>
  <r>
    <s v="TX500605"/>
    <x v="2"/>
    <x v="0"/>
    <n v="80.2"/>
    <n v="80.2"/>
    <x v="25"/>
    <d v="2025-01-27T00:00:00"/>
    <s v="M"/>
    <x v="3"/>
    <x v="2"/>
    <s v="California"/>
    <s v="San Diego County"/>
    <x v="3"/>
    <x v="4"/>
    <x v="1"/>
  </r>
  <r>
    <s v="TX500606"/>
    <x v="14"/>
    <x v="2"/>
    <n v="39.200000000000003"/>
    <n v="117.60000000000001"/>
    <x v="25"/>
    <d v="2025-01-28T00:00:00"/>
    <s v="F"/>
    <x v="1"/>
    <x v="0"/>
    <s v="California"/>
    <s v="San Mateo County"/>
    <x v="1"/>
    <x v="4"/>
    <x v="2"/>
  </r>
  <r>
    <s v="TX500607"/>
    <x v="0"/>
    <x v="1"/>
    <n v="15.4"/>
    <n v="30.8"/>
    <x v="25"/>
    <d v="2025-01-26T00:00:00"/>
    <s v="F"/>
    <x v="3"/>
    <x v="0"/>
    <s v="California"/>
    <s v="Sierra County"/>
    <x v="7"/>
    <x v="4"/>
    <x v="2"/>
  </r>
  <r>
    <s v="TX500608"/>
    <x v="3"/>
    <x v="2"/>
    <n v="65.400000000000006"/>
    <n v="196.20000000000002"/>
    <x v="25"/>
    <d v="2025-01-29T00:00:00"/>
    <s v="M"/>
    <x v="3"/>
    <x v="0"/>
    <s v="California"/>
    <s v="Sonoma County"/>
    <x v="2"/>
    <x v="4"/>
    <x v="1"/>
  </r>
  <r>
    <s v="TX500609"/>
    <x v="1"/>
    <x v="8"/>
    <n v="63.2"/>
    <n v="505.6"/>
    <x v="25"/>
    <d v="2025-01-28T00:00:00"/>
    <s v="F"/>
    <x v="1"/>
    <x v="0"/>
    <s v="California"/>
    <s v="Stanislaus County"/>
    <x v="1"/>
    <x v="4"/>
    <x v="2"/>
  </r>
  <r>
    <s v="TX500610"/>
    <x v="1"/>
    <x v="13"/>
    <n v="35.700000000000003"/>
    <n v="214.20000000000002"/>
    <x v="25"/>
    <d v="2025-01-30T00:00:00"/>
    <s v="F"/>
    <x v="4"/>
    <x v="1"/>
    <s v="California"/>
    <s v="Stanislaus County"/>
    <x v="5"/>
    <x v="4"/>
    <x v="2"/>
  </r>
  <r>
    <s v="TX500611"/>
    <x v="0"/>
    <x v="28"/>
    <n v="26.2"/>
    <n v="524"/>
    <x v="25"/>
    <d v="2025-01-27T00:00:00"/>
    <s v="F"/>
    <x v="3"/>
    <x v="0"/>
    <s v="California"/>
    <s v="Alameda County"/>
    <x v="3"/>
    <x v="4"/>
    <x v="2"/>
  </r>
  <r>
    <s v="TX500612"/>
    <x v="7"/>
    <x v="1"/>
    <n v="31"/>
    <n v="62"/>
    <x v="25"/>
    <d v="2025-01-27T00:00:00"/>
    <s v="F"/>
    <x v="0"/>
    <x v="2"/>
    <s v="California"/>
    <s v="Contra Costa County"/>
    <x v="3"/>
    <x v="4"/>
    <x v="2"/>
  </r>
  <r>
    <s v="TX500613"/>
    <x v="8"/>
    <x v="12"/>
    <n v="37.700000000000003"/>
    <n v="150.80000000000001"/>
    <x v="25"/>
    <d v="2025-01-27T00:00:00"/>
    <s v="F"/>
    <x v="1"/>
    <x v="0"/>
    <s v="California"/>
    <s v="Kern County"/>
    <x v="3"/>
    <x v="4"/>
    <x v="2"/>
  </r>
  <r>
    <s v="TX500614"/>
    <x v="10"/>
    <x v="33"/>
    <n v="43.6"/>
    <n v="1482.4"/>
    <x v="25"/>
    <d v="2025-01-28T00:00:00"/>
    <s v="F"/>
    <x v="4"/>
    <x v="1"/>
    <s v="California"/>
    <s v="Los Angeles County"/>
    <x v="1"/>
    <x v="4"/>
    <x v="2"/>
  </r>
  <r>
    <s v="TX500615"/>
    <x v="9"/>
    <x v="12"/>
    <n v="26.5"/>
    <n v="106"/>
    <x v="25"/>
    <d v="2025-01-28T00:00:00"/>
    <s v="M"/>
    <x v="0"/>
    <x v="4"/>
    <s v="California"/>
    <s v="Los Angeles County"/>
    <x v="1"/>
    <x v="4"/>
    <x v="1"/>
  </r>
  <r>
    <s v="TX500616"/>
    <x v="0"/>
    <x v="1"/>
    <n v="34.6"/>
    <n v="69.2"/>
    <x v="25"/>
    <d v="2025-01-27T00:00:00"/>
    <s v="M"/>
    <x v="4"/>
    <x v="1"/>
    <s v="California"/>
    <s v="Los Angeles County"/>
    <x v="3"/>
    <x v="4"/>
    <x v="1"/>
  </r>
  <r>
    <s v="TX500617"/>
    <x v="8"/>
    <x v="1"/>
    <n v="58.2"/>
    <n v="116.4"/>
    <x v="25"/>
    <d v="2025-01-27T00:00:00"/>
    <s v="M"/>
    <x v="2"/>
    <x v="2"/>
    <s v="California"/>
    <s v="Los Angeles County"/>
    <x v="3"/>
    <x v="4"/>
    <x v="1"/>
  </r>
  <r>
    <s v="TX500618"/>
    <x v="7"/>
    <x v="0"/>
    <n v="30.2"/>
    <n v="30.2"/>
    <x v="26"/>
    <d v="2025-01-28T00:00:00"/>
    <s v="F"/>
    <x v="2"/>
    <x v="1"/>
    <s v="California"/>
    <s v="Los Angeles County"/>
    <x v="3"/>
    <x v="4"/>
    <x v="2"/>
  </r>
  <r>
    <s v="TX500619"/>
    <x v="1"/>
    <x v="7"/>
    <n v="53.2"/>
    <n v="532"/>
    <x v="26"/>
    <d v="2025-01-28T00:00:00"/>
    <s v="M"/>
    <x v="0"/>
    <x v="2"/>
    <s v="California"/>
    <s v="Placer County"/>
    <x v="3"/>
    <x v="4"/>
    <x v="1"/>
  </r>
  <r>
    <s v="TX500620"/>
    <x v="12"/>
    <x v="13"/>
    <n v="51.1"/>
    <n v="306.60000000000002"/>
    <x v="26"/>
    <d v="2025-01-27T00:00:00"/>
    <s v="M"/>
    <x v="1"/>
    <x v="2"/>
    <s v="California"/>
    <s v="Placer County"/>
    <x v="7"/>
    <x v="4"/>
    <x v="1"/>
  </r>
  <r>
    <s v="TX500621"/>
    <x v="1"/>
    <x v="0"/>
    <n v="105.4"/>
    <n v="105.4"/>
    <x v="26"/>
    <d v="2025-01-31T00:00:00"/>
    <s v="F"/>
    <x v="1"/>
    <x v="2"/>
    <s v="California"/>
    <s v="Riverside County"/>
    <x v="5"/>
    <x v="4"/>
    <x v="2"/>
  </r>
  <r>
    <s v="TX500622"/>
    <x v="7"/>
    <x v="0"/>
    <n v="57.7"/>
    <n v="57.7"/>
    <x v="26"/>
    <d v="2025-01-27T00:00:00"/>
    <s v="M"/>
    <x v="0"/>
    <x v="4"/>
    <s v="California"/>
    <s v="San Diego County"/>
    <x v="7"/>
    <x v="4"/>
    <x v="1"/>
  </r>
  <r>
    <s v="TX500623"/>
    <x v="15"/>
    <x v="1"/>
    <n v="72.400000000000006"/>
    <n v="144.80000000000001"/>
    <x v="26"/>
    <d v="2025-02-01T00:00:00"/>
    <s v="F"/>
    <x v="0"/>
    <x v="0"/>
    <s v="California"/>
    <s v="San Francisco"/>
    <x v="0"/>
    <x v="4"/>
    <x v="2"/>
  </r>
  <r>
    <s v="TX500624"/>
    <x v="6"/>
    <x v="1"/>
    <n v="62.5"/>
    <n v="125"/>
    <x v="26"/>
    <d v="2025-01-28T00:00:00"/>
    <s v=""/>
    <x v="0"/>
    <x v="2"/>
    <s v="California"/>
    <s v="Santa Clara County"/>
    <x v="3"/>
    <x v="4"/>
    <x v="0"/>
  </r>
  <r>
    <s v="TX500625"/>
    <x v="0"/>
    <x v="32"/>
    <n v="11.6"/>
    <n v="255.2"/>
    <x v="26"/>
    <d v="2025-01-29T00:00:00"/>
    <s v="F"/>
    <x v="3"/>
    <x v="2"/>
    <s v="California"/>
    <s v="Sonoma County"/>
    <x v="1"/>
    <x v="4"/>
    <x v="2"/>
  </r>
  <r>
    <s v="TX500626"/>
    <x v="10"/>
    <x v="7"/>
    <n v="39.6"/>
    <n v="396"/>
    <x v="26"/>
    <d v="2025-01-29T00:00:00"/>
    <s v="F"/>
    <x v="2"/>
    <x v="2"/>
    <s v="California"/>
    <s v="Sonoma County"/>
    <x v="1"/>
    <x v="4"/>
    <x v="2"/>
  </r>
  <r>
    <s v="TX500627"/>
    <x v="8"/>
    <x v="1"/>
    <n v="40.1"/>
    <n v="80.2"/>
    <x v="26"/>
    <d v="2025-01-28T00:00:00"/>
    <s v="F"/>
    <x v="2"/>
    <x v="0"/>
    <s v="California"/>
    <s v="Sonoma County"/>
    <x v="3"/>
    <x v="4"/>
    <x v="2"/>
  </r>
  <r>
    <s v="TX500628"/>
    <x v="8"/>
    <x v="2"/>
    <n v="18.600000000000001"/>
    <n v="55.800000000000004"/>
    <x v="26"/>
    <d v="2025-01-28T00:00:00"/>
    <s v="F"/>
    <x v="2"/>
    <x v="0"/>
    <s v="California"/>
    <s v="Alameda County"/>
    <x v="3"/>
    <x v="4"/>
    <x v="2"/>
  </r>
  <r>
    <s v="TX500629"/>
    <x v="4"/>
    <x v="0"/>
    <n v="58.8"/>
    <n v="58.8"/>
    <x v="26"/>
    <d v="2025-01-29T00:00:00"/>
    <s v="F"/>
    <x v="0"/>
    <x v="1"/>
    <s v="California"/>
    <s v="Alameda County"/>
    <x v="1"/>
    <x v="4"/>
    <x v="2"/>
  </r>
  <r>
    <s v="TX500630"/>
    <x v="8"/>
    <x v="1"/>
    <n v="22.1"/>
    <n v="44.2"/>
    <x v="26"/>
    <d v="2025-01-30T00:00:00"/>
    <s v="M"/>
    <x v="1"/>
    <x v="2"/>
    <s v="California"/>
    <s v="Alameda County"/>
    <x v="2"/>
    <x v="4"/>
    <x v="1"/>
  </r>
  <r>
    <s v="TX500631"/>
    <x v="2"/>
    <x v="0"/>
    <n v="114.9"/>
    <n v="114.9"/>
    <x v="27"/>
    <d v="2025-01-29T00:00:00"/>
    <s v="F"/>
    <x v="1"/>
    <x v="1"/>
    <s v="California"/>
    <s v="Kern County"/>
    <x v="3"/>
    <x v="4"/>
    <x v="2"/>
  </r>
  <r>
    <s v="TX500632"/>
    <x v="9"/>
    <x v="9"/>
    <n v="75.8"/>
    <n v="379"/>
    <x v="27"/>
    <d v="2025-01-29T00:00:00"/>
    <s v="M"/>
    <x v="0"/>
    <x v="2"/>
    <s v="California"/>
    <s v="Los Angeles County"/>
    <x v="3"/>
    <x v="4"/>
    <x v="1"/>
  </r>
  <r>
    <s v="TX500633"/>
    <x v="14"/>
    <x v="9"/>
    <n v="20.6"/>
    <n v="103"/>
    <x v="27"/>
    <d v="2025-01-29T00:00:00"/>
    <s v="M"/>
    <x v="2"/>
    <x v="2"/>
    <s v="California"/>
    <s v="Los Angeles County"/>
    <x v="3"/>
    <x v="4"/>
    <x v="1"/>
  </r>
  <r>
    <s v="TX500634"/>
    <x v="17"/>
    <x v="2"/>
    <n v="67.900000000000006"/>
    <n v="203.70000000000002"/>
    <x v="27"/>
    <d v="2025-01-29T00:00:00"/>
    <s v="F"/>
    <x v="1"/>
    <x v="1"/>
    <s v="California"/>
    <s v="Los Angeles County"/>
    <x v="3"/>
    <x v="4"/>
    <x v="2"/>
  </r>
  <r>
    <s v="TX500635"/>
    <x v="0"/>
    <x v="9"/>
    <n v="27"/>
    <n v="135"/>
    <x v="27"/>
    <d v="2025-02-04T00:00:00"/>
    <s v="F"/>
    <x v="0"/>
    <x v="2"/>
    <s v="California"/>
    <s v="Los Angeles County"/>
    <x v="6"/>
    <x v="4"/>
    <x v="2"/>
  </r>
  <r>
    <s v="TX500636"/>
    <x v="13"/>
    <x v="0"/>
    <n v="50.6"/>
    <n v="50.6"/>
    <x v="27"/>
    <d v="2025-01-28T00:00:00"/>
    <s v="M"/>
    <x v="0"/>
    <x v="1"/>
    <s v="California"/>
    <s v="Los Angeles County"/>
    <x v="7"/>
    <x v="4"/>
    <x v="1"/>
  </r>
  <r>
    <s v="TX500637"/>
    <x v="4"/>
    <x v="9"/>
    <n v="22.1"/>
    <n v="110.5"/>
    <x v="27"/>
    <d v="2025-02-02T00:00:00"/>
    <s v="M"/>
    <x v="0"/>
    <x v="0"/>
    <s v="California"/>
    <s v="Los Angeles County"/>
    <x v="0"/>
    <x v="4"/>
    <x v="1"/>
  </r>
  <r>
    <s v="TX500638"/>
    <x v="8"/>
    <x v="2"/>
    <n v="42.9"/>
    <n v="128.69999999999999"/>
    <x v="27"/>
    <d v="2025-01-30T00:00:00"/>
    <s v="F"/>
    <x v="0"/>
    <x v="0"/>
    <s v="California"/>
    <s v="Los Angeles County"/>
    <x v="1"/>
    <x v="4"/>
    <x v="2"/>
  </r>
  <r>
    <s v="TX500639"/>
    <x v="1"/>
    <x v="5"/>
    <n v="62.4"/>
    <n v="686.4"/>
    <x v="27"/>
    <d v="2025-01-30T00:00:00"/>
    <s v="F"/>
    <x v="2"/>
    <x v="0"/>
    <s v="California"/>
    <s v="Los Angeles County"/>
    <x v="1"/>
    <x v="4"/>
    <x v="2"/>
  </r>
  <r>
    <s v="TX500640"/>
    <x v="13"/>
    <x v="11"/>
    <n v="36.4"/>
    <n v="327.59999999999997"/>
    <x v="27"/>
    <d v="2025-01-30T00:00:00"/>
    <s v="F"/>
    <x v="0"/>
    <x v="2"/>
    <s v="California"/>
    <s v="Los Angeles County"/>
    <x v="1"/>
    <x v="4"/>
    <x v="2"/>
  </r>
  <r>
    <s v="TX500641"/>
    <x v="0"/>
    <x v="1"/>
    <n v="22.5"/>
    <n v="45"/>
    <x v="27"/>
    <d v="2025-01-31T00:00:00"/>
    <s v="M"/>
    <x v="0"/>
    <x v="0"/>
    <s v="California"/>
    <s v="Los Angeles County"/>
    <x v="2"/>
    <x v="4"/>
    <x v="1"/>
  </r>
  <r>
    <s v="TX500642"/>
    <x v="6"/>
    <x v="12"/>
    <n v="70.8"/>
    <n v="283.2"/>
    <x v="27"/>
    <d v="2025-01-30T00:00:00"/>
    <s v="F"/>
    <x v="4"/>
    <x v="0"/>
    <s v="California"/>
    <s v="Los Angeles County"/>
    <x v="1"/>
    <x v="4"/>
    <x v="2"/>
  </r>
  <r>
    <s v="TX500643"/>
    <x v="6"/>
    <x v="9"/>
    <n v="56.6"/>
    <n v="283"/>
    <x v="27"/>
    <d v="2025-01-30T00:00:00"/>
    <s v="M"/>
    <x v="0"/>
    <x v="1"/>
    <s v="California"/>
    <s v="Nevada County"/>
    <x v="1"/>
    <x v="4"/>
    <x v="1"/>
  </r>
  <r>
    <s v="TX500644"/>
    <x v="6"/>
    <x v="1"/>
    <n v="47.9"/>
    <n v="95.8"/>
    <x v="27"/>
    <d v="2025-01-29T00:00:00"/>
    <s v="F"/>
    <x v="0"/>
    <x v="0"/>
    <s v="California"/>
    <s v="Sacramento County"/>
    <x v="3"/>
    <x v="4"/>
    <x v="2"/>
  </r>
  <r>
    <s v="TX500645"/>
    <x v="6"/>
    <x v="8"/>
    <n v="78.400000000000006"/>
    <n v="627.20000000000005"/>
    <x v="27"/>
    <d v="2025-01-30T00:00:00"/>
    <s v="F"/>
    <x v="1"/>
    <x v="0"/>
    <s v="California"/>
    <s v="Sacramento County"/>
    <x v="1"/>
    <x v="4"/>
    <x v="2"/>
  </r>
  <r>
    <s v="TX500646"/>
    <x v="2"/>
    <x v="21"/>
    <n v="122.1"/>
    <n v="1709.3999999999999"/>
    <x v="27"/>
    <d v="2025-02-02T00:00:00"/>
    <s v="F"/>
    <x v="0"/>
    <x v="2"/>
    <s v="California"/>
    <s v="Sacramento County"/>
    <x v="0"/>
    <x v="4"/>
    <x v="2"/>
  </r>
  <r>
    <s v="TX500647"/>
    <x v="2"/>
    <x v="1"/>
    <n v="83.7"/>
    <n v="167.4"/>
    <x v="28"/>
    <d v="2025-01-29T00:00:00"/>
    <s v=""/>
    <x v="1"/>
    <x v="2"/>
    <s v="California"/>
    <s v="San Bernardino County"/>
    <x v="7"/>
    <x v="4"/>
    <x v="0"/>
  </r>
  <r>
    <s v="TX500648"/>
    <x v="3"/>
    <x v="12"/>
    <n v="97.9"/>
    <n v="391.6"/>
    <x v="28"/>
    <d v="2025-02-02T00:00:00"/>
    <s v="F"/>
    <x v="3"/>
    <x v="2"/>
    <s v="California"/>
    <s v="San Bernardino County"/>
    <x v="5"/>
    <x v="4"/>
    <x v="2"/>
  </r>
  <r>
    <s v="TX500649"/>
    <x v="14"/>
    <x v="0"/>
    <n v="15"/>
    <n v="15"/>
    <x v="28"/>
    <d v="2025-02-03T00:00:00"/>
    <s v="F"/>
    <x v="3"/>
    <x v="0"/>
    <s v="California"/>
    <s v="San Diego County"/>
    <x v="0"/>
    <x v="4"/>
    <x v="2"/>
  </r>
  <r>
    <s v="TX500650"/>
    <x v="12"/>
    <x v="2"/>
    <n v="94.6"/>
    <n v="283.79999999999995"/>
    <x v="28"/>
    <d v="2025-01-30T00:00:00"/>
    <s v="M"/>
    <x v="2"/>
    <x v="1"/>
    <s v="California"/>
    <s v="San Diego County"/>
    <x v="3"/>
    <x v="4"/>
    <x v="1"/>
  </r>
  <r>
    <s v="TX500651"/>
    <x v="0"/>
    <x v="13"/>
    <n v="19.7"/>
    <n v="118.19999999999999"/>
    <x v="28"/>
    <d v="2025-02-09T00:00:00"/>
    <s v="F"/>
    <x v="0"/>
    <x v="2"/>
    <s v="California"/>
    <s v="San Diego County"/>
    <x v="11"/>
    <x v="4"/>
    <x v="2"/>
  </r>
  <r>
    <s v="TX500652"/>
    <x v="7"/>
    <x v="0"/>
    <n v="46.7"/>
    <n v="46.7"/>
    <x v="28"/>
    <d v="2025-02-01T00:00:00"/>
    <s v="F"/>
    <x v="2"/>
    <x v="0"/>
    <s v="California"/>
    <s v="San Francisco"/>
    <x v="2"/>
    <x v="4"/>
    <x v="2"/>
  </r>
  <r>
    <s v="TX500653"/>
    <x v="1"/>
    <x v="12"/>
    <n v="43"/>
    <n v="172"/>
    <x v="28"/>
    <d v="2025-01-30T00:00:00"/>
    <s v="M"/>
    <x v="2"/>
    <x v="2"/>
    <s v="California"/>
    <s v="San Francisco"/>
    <x v="3"/>
    <x v="4"/>
    <x v="1"/>
  </r>
  <r>
    <s v="TX500654"/>
    <x v="6"/>
    <x v="2"/>
    <n v="68.2"/>
    <n v="204.60000000000002"/>
    <x v="28"/>
    <d v="2025-02-04T00:00:00"/>
    <s v="F"/>
    <x v="0"/>
    <x v="0"/>
    <s v="California"/>
    <s v="San Mateo County"/>
    <x v="4"/>
    <x v="4"/>
    <x v="2"/>
  </r>
  <r>
    <s v="TX500655"/>
    <x v="10"/>
    <x v="7"/>
    <n v="24.3"/>
    <n v="243"/>
    <x v="28"/>
    <d v="2025-01-30T00:00:00"/>
    <s v="M"/>
    <x v="0"/>
    <x v="2"/>
    <s v="California"/>
    <s v="Santa Barbara County"/>
    <x v="3"/>
    <x v="4"/>
    <x v="1"/>
  </r>
  <r>
    <s v="TX500656"/>
    <x v="7"/>
    <x v="1"/>
    <n v="86.8"/>
    <n v="173.6"/>
    <x v="28"/>
    <d v="2025-02-02T00:00:00"/>
    <s v="F"/>
    <x v="4"/>
    <x v="2"/>
    <s v="California"/>
    <s v="Santa Clara County"/>
    <x v="5"/>
    <x v="4"/>
    <x v="2"/>
  </r>
  <r>
    <s v="TX500657"/>
    <x v="0"/>
    <x v="1"/>
    <n v="15.8"/>
    <n v="31.6"/>
    <x v="28"/>
    <d v="2025-01-31T00:00:00"/>
    <s v="M"/>
    <x v="1"/>
    <x v="0"/>
    <s v="California"/>
    <s v="Santa Clara County"/>
    <x v="1"/>
    <x v="4"/>
    <x v="1"/>
  </r>
  <r>
    <s v="TX500658"/>
    <x v="2"/>
    <x v="12"/>
    <n v="61.6"/>
    <n v="246.4"/>
    <x v="28"/>
    <d v="2025-01-30T00:00:00"/>
    <s v="M"/>
    <x v="2"/>
    <x v="0"/>
    <s v="California"/>
    <s v="Santa Clara County"/>
    <x v="3"/>
    <x v="4"/>
    <x v="1"/>
  </r>
  <r>
    <s v="TX500659"/>
    <x v="6"/>
    <x v="2"/>
    <n v="48.7"/>
    <n v="146.10000000000002"/>
    <x v="28"/>
    <d v="2025-02-04T00:00:00"/>
    <s v="F"/>
    <x v="1"/>
    <x v="2"/>
    <s v="California"/>
    <s v="Trinity County"/>
    <x v="4"/>
    <x v="4"/>
    <x v="2"/>
  </r>
  <r>
    <s v="TX500660"/>
    <x v="8"/>
    <x v="12"/>
    <n v="24.3"/>
    <n v="97.2"/>
    <x v="28"/>
    <d v="2025-01-31T00:00:00"/>
    <s v="F"/>
    <x v="1"/>
    <x v="2"/>
    <s v="California"/>
    <s v="Alameda County"/>
    <x v="1"/>
    <x v="4"/>
    <x v="2"/>
  </r>
  <r>
    <s v="TX500661"/>
    <x v="2"/>
    <x v="1"/>
    <n v="130.69999999999999"/>
    <n v="261.39999999999998"/>
    <x v="28"/>
    <d v="2025-01-30T00:00:00"/>
    <s v="F"/>
    <x v="2"/>
    <x v="0"/>
    <s v="California"/>
    <s v="Humboldt County"/>
    <x v="3"/>
    <x v="4"/>
    <x v="2"/>
  </r>
  <r>
    <s v="TX500662"/>
    <x v="10"/>
    <x v="0"/>
    <n v="26"/>
    <n v="26"/>
    <x v="28"/>
    <d v="2025-01-31T00:00:00"/>
    <s v="M"/>
    <x v="0"/>
    <x v="0"/>
    <s v="California"/>
    <s v="Los Angeles County"/>
    <x v="1"/>
    <x v="4"/>
    <x v="1"/>
  </r>
  <r>
    <s v="TX500663"/>
    <x v="2"/>
    <x v="9"/>
    <n v="94.4"/>
    <n v="472"/>
    <x v="28"/>
    <d v="2025-01-30T00:00:00"/>
    <s v="F"/>
    <x v="0"/>
    <x v="0"/>
    <s v="California"/>
    <s v="Los Angeles County"/>
    <x v="3"/>
    <x v="4"/>
    <x v="2"/>
  </r>
  <r>
    <s v="TX500664"/>
    <x v="0"/>
    <x v="13"/>
    <n v="23.7"/>
    <n v="142.19999999999999"/>
    <x v="28"/>
    <d v="2025-01-31T00:00:00"/>
    <s v="M"/>
    <x v="2"/>
    <x v="2"/>
    <s v="California"/>
    <s v="Los Angeles County"/>
    <x v="1"/>
    <x v="4"/>
    <x v="1"/>
  </r>
  <r>
    <s v="TX500665"/>
    <x v="9"/>
    <x v="4"/>
    <n v="37.4"/>
    <n v="448.79999999999995"/>
    <x v="28"/>
    <d v="2025-01-31T00:00:00"/>
    <s v="M"/>
    <x v="2"/>
    <x v="0"/>
    <s v="California"/>
    <s v="Los Angeles County"/>
    <x v="1"/>
    <x v="4"/>
    <x v="1"/>
  </r>
  <r>
    <s v="TX500666"/>
    <x v="1"/>
    <x v="34"/>
    <n v="55.2"/>
    <n v="1987.2"/>
    <x v="28"/>
    <d v="2025-01-29T00:00:00"/>
    <s v="F"/>
    <x v="3"/>
    <x v="1"/>
    <s v="California"/>
    <s v="Los Angeles County"/>
    <x v="7"/>
    <x v="4"/>
    <x v="2"/>
  </r>
  <r>
    <s v="TX500667"/>
    <x v="2"/>
    <x v="11"/>
    <n v="57.1"/>
    <n v="513.9"/>
    <x v="28"/>
    <d v="2025-01-31T00:00:00"/>
    <s v="M"/>
    <x v="0"/>
    <x v="2"/>
    <s v="California"/>
    <s v="Los Angeles County"/>
    <x v="1"/>
    <x v="4"/>
    <x v="1"/>
  </r>
  <r>
    <s v="TX500668"/>
    <x v="12"/>
    <x v="0"/>
    <n v="55.3"/>
    <n v="55.3"/>
    <x v="28"/>
    <d v="2025-01-30T00:00:00"/>
    <s v="F"/>
    <x v="2"/>
    <x v="2"/>
    <s v="California"/>
    <s v="Los Angeles County"/>
    <x v="3"/>
    <x v="4"/>
    <x v="2"/>
  </r>
  <r>
    <s v="TX500669"/>
    <x v="15"/>
    <x v="3"/>
    <n v="23.9"/>
    <n v="167.29999999999998"/>
    <x v="28"/>
    <d v="2025-01-30T00:00:00"/>
    <s v="F"/>
    <x v="4"/>
    <x v="1"/>
    <s v="California"/>
    <s v="Los Angeles County"/>
    <x v="3"/>
    <x v="4"/>
    <x v="2"/>
  </r>
  <r>
    <s v="TX500670"/>
    <x v="0"/>
    <x v="0"/>
    <n v="34.1"/>
    <n v="34.1"/>
    <x v="28"/>
    <d v="2025-02-05T00:00:00"/>
    <s v="F"/>
    <x v="2"/>
    <x v="0"/>
    <s v="California"/>
    <s v="Los Angeles County"/>
    <x v="6"/>
    <x v="4"/>
    <x v="2"/>
  </r>
  <r>
    <s v="TX500671"/>
    <x v="12"/>
    <x v="12"/>
    <n v="38.5"/>
    <n v="154"/>
    <x v="28"/>
    <d v="2025-02-09T00:00:00"/>
    <s v="F"/>
    <x v="0"/>
    <x v="0"/>
    <s v="California"/>
    <s v="Los Angeles County"/>
    <x v="11"/>
    <x v="4"/>
    <x v="2"/>
  </r>
  <r>
    <s v="TX500672"/>
    <x v="7"/>
    <x v="1"/>
    <n v="105"/>
    <n v="210"/>
    <x v="28"/>
    <d v="2025-02-04T00:00:00"/>
    <s v="F"/>
    <x v="0"/>
    <x v="2"/>
    <s v="California"/>
    <s v="Los Angeles County"/>
    <x v="4"/>
    <x v="4"/>
    <x v="2"/>
  </r>
  <r>
    <s v="TX500673"/>
    <x v="8"/>
    <x v="9"/>
    <n v="45.2"/>
    <n v="226"/>
    <x v="28"/>
    <d v="2025-01-31T00:00:00"/>
    <s v="F"/>
    <x v="0"/>
    <x v="2"/>
    <s v="California"/>
    <s v="Los Angeles County"/>
    <x v="1"/>
    <x v="4"/>
    <x v="2"/>
  </r>
  <r>
    <s v="TX500674"/>
    <x v="17"/>
    <x v="2"/>
    <n v="24.8"/>
    <n v="74.400000000000006"/>
    <x v="28"/>
    <d v="2025-01-29T00:00:00"/>
    <s v=""/>
    <x v="0"/>
    <x v="1"/>
    <s v="California"/>
    <s v="Los Angeles County"/>
    <x v="7"/>
    <x v="4"/>
    <x v="0"/>
  </r>
  <r>
    <s v="TX500675"/>
    <x v="11"/>
    <x v="12"/>
    <n v="43.8"/>
    <n v="175.2"/>
    <x v="28"/>
    <d v="2025-02-05T00:00:00"/>
    <s v="F"/>
    <x v="1"/>
    <x v="2"/>
    <s v="California"/>
    <s v="Sacramento County"/>
    <x v="6"/>
    <x v="4"/>
    <x v="2"/>
  </r>
  <r>
    <s v="TX500676"/>
    <x v="1"/>
    <x v="0"/>
    <n v="75"/>
    <n v="75"/>
    <x v="28"/>
    <d v="2025-01-31T00:00:00"/>
    <s v="F"/>
    <x v="4"/>
    <x v="1"/>
    <s v="California"/>
    <s v="Sacramento County"/>
    <x v="1"/>
    <x v="4"/>
    <x v="2"/>
  </r>
  <r>
    <s v="TX500677"/>
    <x v="2"/>
    <x v="0"/>
    <n v="169.9"/>
    <n v="169.9"/>
    <x v="28"/>
    <d v="2025-01-30T00:00:00"/>
    <s v="M"/>
    <x v="2"/>
    <x v="0"/>
    <s v="California"/>
    <s v="Sacramento County"/>
    <x v="3"/>
    <x v="4"/>
    <x v="1"/>
  </r>
  <r>
    <s v="TX500678"/>
    <x v="9"/>
    <x v="1"/>
    <n v="72.2"/>
    <n v="144.4"/>
    <x v="28"/>
    <d v="2025-01-31T00:00:00"/>
    <s v="F"/>
    <x v="4"/>
    <x v="1"/>
    <s v="California"/>
    <s v="Sacramento County"/>
    <x v="1"/>
    <x v="4"/>
    <x v="2"/>
  </r>
  <r>
    <s v="TX500679"/>
    <x v="0"/>
    <x v="0"/>
    <n v="20"/>
    <n v="20"/>
    <x v="29"/>
    <d v="2025-02-02T00:00:00"/>
    <s v="F"/>
    <x v="2"/>
    <x v="1"/>
    <s v="California"/>
    <s v="San Bernardino County"/>
    <x v="2"/>
    <x v="4"/>
    <x v="2"/>
  </r>
  <r>
    <s v="TX500680"/>
    <x v="9"/>
    <x v="1"/>
    <n v="40.799999999999997"/>
    <n v="81.599999999999994"/>
    <x v="29"/>
    <d v="2025-02-01T00:00:00"/>
    <s v="F"/>
    <x v="3"/>
    <x v="2"/>
    <s v="California"/>
    <s v="San Diego County"/>
    <x v="1"/>
    <x v="4"/>
    <x v="2"/>
  </r>
  <r>
    <s v="TX500681"/>
    <x v="10"/>
    <x v="12"/>
    <n v="58"/>
    <n v="232"/>
    <x v="29"/>
    <d v="2025-02-03T00:00:00"/>
    <s v="F"/>
    <x v="0"/>
    <x v="0"/>
    <s v="California"/>
    <s v="San Diego County"/>
    <x v="5"/>
    <x v="4"/>
    <x v="2"/>
  </r>
  <r>
    <s v="TX500682"/>
    <x v="12"/>
    <x v="1"/>
    <n v="43.1"/>
    <n v="86.2"/>
    <x v="29"/>
    <d v="2025-01-31T00:00:00"/>
    <s v="F"/>
    <x v="1"/>
    <x v="2"/>
    <s v="California"/>
    <s v="San Diego County"/>
    <x v="3"/>
    <x v="4"/>
    <x v="2"/>
  </r>
  <r>
    <s v="TX500683"/>
    <x v="6"/>
    <x v="11"/>
    <n v="74.7"/>
    <n v="672.30000000000007"/>
    <x v="29"/>
    <d v="2025-02-01T00:00:00"/>
    <s v="M"/>
    <x v="0"/>
    <x v="2"/>
    <s v="California"/>
    <s v="San Diego County"/>
    <x v="1"/>
    <x v="4"/>
    <x v="1"/>
  </r>
  <r>
    <s v="TX500684"/>
    <x v="6"/>
    <x v="0"/>
    <n v="128.19999999999999"/>
    <n v="128.19999999999999"/>
    <x v="29"/>
    <d v="2025-01-30T00:00:00"/>
    <s v="M"/>
    <x v="1"/>
    <x v="0"/>
    <s v="California"/>
    <s v="San Diego County"/>
    <x v="7"/>
    <x v="4"/>
    <x v="1"/>
  </r>
  <r>
    <s v="TX500685"/>
    <x v="14"/>
    <x v="12"/>
    <n v="26.7"/>
    <n v="106.8"/>
    <x v="29"/>
    <d v="2025-01-31T00:00:00"/>
    <s v="M"/>
    <x v="1"/>
    <x v="0"/>
    <s v="California"/>
    <s v="San Diego County"/>
    <x v="3"/>
    <x v="4"/>
    <x v="1"/>
  </r>
  <r>
    <s v="TX500686"/>
    <x v="17"/>
    <x v="13"/>
    <n v="31.5"/>
    <n v="189"/>
    <x v="29"/>
    <d v="2025-01-31T00:00:00"/>
    <s v="F"/>
    <x v="2"/>
    <x v="0"/>
    <s v="California"/>
    <s v="San Francisco"/>
    <x v="3"/>
    <x v="4"/>
    <x v="2"/>
  </r>
  <r>
    <s v="TX500687"/>
    <x v="3"/>
    <x v="3"/>
    <n v="64.7"/>
    <n v="452.90000000000003"/>
    <x v="29"/>
    <d v="2025-01-31T00:00:00"/>
    <s v="F"/>
    <x v="0"/>
    <x v="2"/>
    <s v="California"/>
    <s v="San Mateo County"/>
    <x v="3"/>
    <x v="4"/>
    <x v="2"/>
  </r>
  <r>
    <s v="TX500688"/>
    <x v="5"/>
    <x v="1"/>
    <n v="55.6"/>
    <n v="111.2"/>
    <x v="29"/>
    <d v="2025-02-02T00:00:00"/>
    <s v="F"/>
    <x v="3"/>
    <x v="0"/>
    <s v="California"/>
    <s v="Santa Clara County"/>
    <x v="2"/>
    <x v="4"/>
    <x v="2"/>
  </r>
  <r>
    <s v="TX500689"/>
    <x v="3"/>
    <x v="1"/>
    <n v="36.200000000000003"/>
    <n v="72.400000000000006"/>
    <x v="29"/>
    <d v="2025-01-31T00:00:00"/>
    <s v="F"/>
    <x v="3"/>
    <x v="0"/>
    <s v="California"/>
    <s v="Santa Clara County"/>
    <x v="3"/>
    <x v="4"/>
    <x v="2"/>
  </r>
  <r>
    <s v="TX500690"/>
    <x v="0"/>
    <x v="0"/>
    <n v="26.6"/>
    <n v="26.6"/>
    <x v="29"/>
    <d v="2025-01-31T00:00:00"/>
    <s v=""/>
    <x v="1"/>
    <x v="1"/>
    <s v="California"/>
    <s v="Stanislaus County"/>
    <x v="3"/>
    <x v="4"/>
    <x v="0"/>
  </r>
  <r>
    <s v="TX500691"/>
    <x v="10"/>
    <x v="12"/>
    <n v="31.5"/>
    <n v="126"/>
    <x v="29"/>
    <d v="2025-02-01T00:00:00"/>
    <s v="M"/>
    <x v="0"/>
    <x v="0"/>
    <s v="California"/>
    <s v="Sutter County"/>
    <x v="1"/>
    <x v="4"/>
    <x v="1"/>
  </r>
  <r>
    <s v="TX500692"/>
    <x v="10"/>
    <x v="0"/>
    <n v="27"/>
    <n v="27"/>
    <x v="29"/>
    <d v="2025-02-01T00:00:00"/>
    <s v="F"/>
    <x v="1"/>
    <x v="2"/>
    <s v="California"/>
    <s v="Ventura County"/>
    <x v="1"/>
    <x v="4"/>
    <x v="2"/>
  </r>
  <r>
    <s v="TX500693"/>
    <x v="4"/>
    <x v="0"/>
    <n v="32"/>
    <n v="32"/>
    <x v="29"/>
    <d v="2025-02-02T00:00:00"/>
    <s v="M"/>
    <x v="3"/>
    <x v="0"/>
    <s v="California"/>
    <s v="Alameda County"/>
    <x v="2"/>
    <x v="4"/>
    <x v="1"/>
  </r>
  <r>
    <s v="TX500694"/>
    <x v="1"/>
    <x v="2"/>
    <n v="48.1"/>
    <n v="144.30000000000001"/>
    <x v="29"/>
    <d v="2025-02-01T00:00:00"/>
    <s v="M"/>
    <x v="2"/>
    <x v="1"/>
    <s v="California"/>
    <s v="Contra Costa County"/>
    <x v="1"/>
    <x v="4"/>
    <x v="1"/>
  </r>
  <r>
    <s v="TX500695"/>
    <x v="9"/>
    <x v="1"/>
    <n v="43.4"/>
    <n v="86.8"/>
    <x v="29"/>
    <d v="2025-01-31T00:00:00"/>
    <s v="M"/>
    <x v="1"/>
    <x v="1"/>
    <s v="California"/>
    <s v="Kern County"/>
    <x v="3"/>
    <x v="4"/>
    <x v="1"/>
  </r>
  <r>
    <s v="TX500696"/>
    <x v="6"/>
    <x v="1"/>
    <n v="42.6"/>
    <n v="85.2"/>
    <x v="29"/>
    <d v="2025-02-02T00:00:00"/>
    <s v="F"/>
    <x v="3"/>
    <x v="0"/>
    <s v="California"/>
    <s v="Kern County"/>
    <x v="2"/>
    <x v="4"/>
    <x v="2"/>
  </r>
  <r>
    <s v="TX500697"/>
    <x v="8"/>
    <x v="1"/>
    <n v="15.9"/>
    <n v="31.8"/>
    <x v="29"/>
    <d v="2025-01-31T00:00:00"/>
    <s v="F"/>
    <x v="0"/>
    <x v="0"/>
    <s v="California"/>
    <s v="Kings County"/>
    <x v="3"/>
    <x v="4"/>
    <x v="2"/>
  </r>
  <r>
    <s v="TX500698"/>
    <x v="9"/>
    <x v="1"/>
    <n v="63.2"/>
    <n v="126.4"/>
    <x v="29"/>
    <d v="2025-01-31T00:00:00"/>
    <s v="M"/>
    <x v="1"/>
    <x v="0"/>
    <s v="California"/>
    <s v="Los Angeles County"/>
    <x v="3"/>
    <x v="4"/>
    <x v="1"/>
  </r>
  <r>
    <s v="TX500699"/>
    <x v="7"/>
    <x v="12"/>
    <n v="64.8"/>
    <n v="259.2"/>
    <x v="29"/>
    <d v="2025-02-01T00:00:00"/>
    <s v=""/>
    <x v="4"/>
    <x v="1"/>
    <s v="California"/>
    <s v="Los Angeles County"/>
    <x v="1"/>
    <x v="4"/>
    <x v="0"/>
  </r>
  <r>
    <s v="TX500700"/>
    <x v="7"/>
    <x v="2"/>
    <n v="79.8"/>
    <n v="239.39999999999998"/>
    <x v="29"/>
    <d v="2025-01-31T00:00:00"/>
    <s v="M"/>
    <x v="0"/>
    <x v="0"/>
    <s v="California"/>
    <s v="Los Angeles County"/>
    <x v="3"/>
    <x v="4"/>
    <x v="1"/>
  </r>
  <r>
    <s v="TX500701"/>
    <x v="9"/>
    <x v="0"/>
    <n v="54.4"/>
    <n v="54.4"/>
    <x v="29"/>
    <d v="2025-02-01T00:00:00"/>
    <s v="F"/>
    <x v="4"/>
    <x v="2"/>
    <s v="California"/>
    <s v="Los Angeles County"/>
    <x v="1"/>
    <x v="4"/>
    <x v="2"/>
  </r>
  <r>
    <s v="TX500702"/>
    <x v="6"/>
    <x v="0"/>
    <n v="87.3"/>
    <n v="87.3"/>
    <x v="29"/>
    <d v="2025-01-31T00:00:00"/>
    <s v="M"/>
    <x v="1"/>
    <x v="0"/>
    <s v="California"/>
    <s v="Los Angeles County"/>
    <x v="3"/>
    <x v="4"/>
    <x v="1"/>
  </r>
  <r>
    <s v="TX500703"/>
    <x v="8"/>
    <x v="12"/>
    <n v="32.4"/>
    <n v="129.6"/>
    <x v="29"/>
    <d v="2025-01-30T00:00:00"/>
    <s v="M"/>
    <x v="1"/>
    <x v="0"/>
    <s v="California"/>
    <s v="Los Angeles County"/>
    <x v="7"/>
    <x v="4"/>
    <x v="1"/>
  </r>
  <r>
    <s v="TX500704"/>
    <x v="2"/>
    <x v="0"/>
    <n v="177.4"/>
    <n v="177.4"/>
    <x v="29"/>
    <d v="2025-02-03T00:00:00"/>
    <s v="M"/>
    <x v="0"/>
    <x v="2"/>
    <s v="California"/>
    <s v="Los Angeles County"/>
    <x v="5"/>
    <x v="4"/>
    <x v="1"/>
  </r>
  <r>
    <s v="TX500705"/>
    <x v="7"/>
    <x v="1"/>
    <n v="70.099999999999994"/>
    <n v="140.19999999999999"/>
    <x v="29"/>
    <d v="2025-01-31T00:00:00"/>
    <s v="M"/>
    <x v="3"/>
    <x v="1"/>
    <s v="California"/>
    <s v="Los Angeles County"/>
    <x v="3"/>
    <x v="4"/>
    <x v="1"/>
  </r>
  <r>
    <s v="TX500706"/>
    <x v="9"/>
    <x v="13"/>
    <n v="51.1"/>
    <n v="306.60000000000002"/>
    <x v="29"/>
    <d v="2025-01-31T00:00:00"/>
    <s v="F"/>
    <x v="0"/>
    <x v="0"/>
    <s v="California"/>
    <s v="Los Angeles County"/>
    <x v="3"/>
    <x v="4"/>
    <x v="2"/>
  </r>
  <r>
    <s v="TX500707"/>
    <x v="2"/>
    <x v="9"/>
    <n v="79.900000000000006"/>
    <n v="399.5"/>
    <x v="29"/>
    <d v="2025-02-01T00:00:00"/>
    <s v="M"/>
    <x v="3"/>
    <x v="2"/>
    <s v="California"/>
    <s v="Merced County"/>
    <x v="1"/>
    <x v="4"/>
    <x v="1"/>
  </r>
  <r>
    <s v="TX500708"/>
    <x v="6"/>
    <x v="0"/>
    <n v="57.6"/>
    <n v="57.6"/>
    <x v="30"/>
    <d v="2025-02-05T00:00:00"/>
    <s v="M"/>
    <x v="0"/>
    <x v="2"/>
    <s v="California"/>
    <s v="Monterey County"/>
    <x v="0"/>
    <x v="4"/>
    <x v="1"/>
  </r>
  <r>
    <s v="TX500709"/>
    <x v="8"/>
    <x v="7"/>
    <n v="59.7"/>
    <n v="597"/>
    <x v="30"/>
    <d v="2025-02-04T00:00:00"/>
    <s v="M"/>
    <x v="2"/>
    <x v="0"/>
    <s v="California"/>
    <s v="Orange County"/>
    <x v="5"/>
    <x v="4"/>
    <x v="1"/>
  </r>
  <r>
    <s v="TX500710"/>
    <x v="8"/>
    <x v="9"/>
    <n v="30"/>
    <n v="150"/>
    <x v="30"/>
    <d v="2025-02-02T00:00:00"/>
    <s v="M"/>
    <x v="1"/>
    <x v="0"/>
    <s v="California"/>
    <s v="Sacramento County"/>
    <x v="1"/>
    <x v="4"/>
    <x v="1"/>
  </r>
  <r>
    <s v="TX500711"/>
    <x v="10"/>
    <x v="1"/>
    <n v="69.2"/>
    <n v="138.4"/>
    <x v="30"/>
    <d v="2025-02-02T00:00:00"/>
    <s v=""/>
    <x v="2"/>
    <x v="1"/>
    <s v="California"/>
    <s v="Sacramento County"/>
    <x v="1"/>
    <x v="4"/>
    <x v="0"/>
  </r>
  <r>
    <s v="TX500712"/>
    <x v="0"/>
    <x v="8"/>
    <n v="10.9"/>
    <n v="87.2"/>
    <x v="30"/>
    <d v="2025-02-01T00:00:00"/>
    <s v="F"/>
    <x v="0"/>
    <x v="2"/>
    <s v="California"/>
    <s v="Sacramento County"/>
    <x v="3"/>
    <x v="4"/>
    <x v="2"/>
  </r>
  <r>
    <s v="TX500713"/>
    <x v="16"/>
    <x v="1"/>
    <n v="48.6"/>
    <n v="97.2"/>
    <x v="30"/>
    <d v="2025-02-04T00:00:00"/>
    <s v="M"/>
    <x v="1"/>
    <x v="2"/>
    <s v="California"/>
    <s v="Sacramento County"/>
    <x v="5"/>
    <x v="4"/>
    <x v="1"/>
  </r>
  <r>
    <s v="TX500714"/>
    <x v="2"/>
    <x v="1"/>
    <n v="61.1"/>
    <n v="122.2"/>
    <x v="30"/>
    <d v="2025-02-03T00:00:00"/>
    <s v="F"/>
    <x v="1"/>
    <x v="2"/>
    <s v="California"/>
    <s v="San Bernardino County"/>
    <x v="2"/>
    <x v="4"/>
    <x v="2"/>
  </r>
  <r>
    <s v="TX500715"/>
    <x v="8"/>
    <x v="1"/>
    <n v="23.2"/>
    <n v="46.4"/>
    <x v="30"/>
    <d v="2025-02-01T00:00:00"/>
    <s v="M"/>
    <x v="3"/>
    <x v="2"/>
    <s v="California"/>
    <s v="San Diego County"/>
    <x v="3"/>
    <x v="4"/>
    <x v="1"/>
  </r>
  <r>
    <s v="TX500716"/>
    <x v="12"/>
    <x v="12"/>
    <n v="55.8"/>
    <n v="223.2"/>
    <x v="30"/>
    <d v="2025-02-01T00:00:00"/>
    <s v="M"/>
    <x v="0"/>
    <x v="0"/>
    <s v="California"/>
    <s v="San Diego County"/>
    <x v="3"/>
    <x v="4"/>
    <x v="1"/>
  </r>
  <r>
    <s v="TX500717"/>
    <x v="9"/>
    <x v="12"/>
    <n v="24.8"/>
    <n v="99.2"/>
    <x v="30"/>
    <d v="2025-02-01T00:00:00"/>
    <s v="F"/>
    <x v="0"/>
    <x v="2"/>
    <s v="California"/>
    <s v="San Diego County"/>
    <x v="3"/>
    <x v="4"/>
    <x v="2"/>
  </r>
  <r>
    <s v="TX500718"/>
    <x v="10"/>
    <x v="1"/>
    <n v="27.9"/>
    <n v="55.8"/>
    <x v="30"/>
    <d v="2025-01-31T00:00:00"/>
    <s v="M"/>
    <x v="2"/>
    <x v="2"/>
    <s v="California"/>
    <s v="San Diego County"/>
    <x v="7"/>
    <x v="4"/>
    <x v="1"/>
  </r>
  <r>
    <s v="TX500719"/>
    <x v="10"/>
    <x v="13"/>
    <n v="51.1"/>
    <n v="306.60000000000002"/>
    <x v="30"/>
    <d v="2025-01-31T00:00:00"/>
    <s v="F"/>
    <x v="3"/>
    <x v="0"/>
    <s v="California"/>
    <s v="San Diego County"/>
    <x v="7"/>
    <x v="4"/>
    <x v="2"/>
  </r>
  <r>
    <s v="TX500720"/>
    <x v="17"/>
    <x v="5"/>
    <n v="32.700000000000003"/>
    <n v="359.70000000000005"/>
    <x v="30"/>
    <d v="2025-02-01T00:00:00"/>
    <s v="M"/>
    <x v="4"/>
    <x v="2"/>
    <s v="California"/>
    <s v="San Francisco"/>
    <x v="3"/>
    <x v="4"/>
    <x v="1"/>
  </r>
  <r>
    <s v="TX500721"/>
    <x v="8"/>
    <x v="12"/>
    <n v="22.5"/>
    <n v="90"/>
    <x v="30"/>
    <d v="2025-01-31T00:00:00"/>
    <s v="M"/>
    <x v="0"/>
    <x v="2"/>
    <s v="California"/>
    <s v="San Joaquin County"/>
    <x v="7"/>
    <x v="4"/>
    <x v="1"/>
  </r>
  <r>
    <s v="TX500722"/>
    <x v="0"/>
    <x v="3"/>
    <n v="14.6"/>
    <n v="102.2"/>
    <x v="30"/>
    <d v="2025-02-01T00:00:00"/>
    <s v="F"/>
    <x v="2"/>
    <x v="0"/>
    <s v="California"/>
    <s v="San Luis Obispo County"/>
    <x v="3"/>
    <x v="4"/>
    <x v="2"/>
  </r>
  <r>
    <s v="TX500723"/>
    <x v="5"/>
    <x v="2"/>
    <n v="32.5"/>
    <n v="97.5"/>
    <x v="30"/>
    <d v="2025-02-03T00:00:00"/>
    <s v="M"/>
    <x v="0"/>
    <x v="0"/>
    <s v="California"/>
    <s v="Santa Barbara County"/>
    <x v="2"/>
    <x v="4"/>
    <x v="1"/>
  </r>
  <r>
    <s v="TX500724"/>
    <x v="18"/>
    <x v="0"/>
    <n v="78.099999999999994"/>
    <n v="78.099999999999994"/>
    <x v="30"/>
    <d v="2025-02-03T00:00:00"/>
    <s v="M"/>
    <x v="0"/>
    <x v="2"/>
    <s v="California"/>
    <s v="Santa Clara County"/>
    <x v="2"/>
    <x v="4"/>
    <x v="1"/>
  </r>
  <r>
    <s v="TX500725"/>
    <x v="12"/>
    <x v="13"/>
    <n v="110.2"/>
    <n v="661.2"/>
    <x v="30"/>
    <d v="2025-01-31T00:00:00"/>
    <s v="M"/>
    <x v="1"/>
    <x v="4"/>
    <s v="California"/>
    <s v="Ventura County"/>
    <x v="7"/>
    <x v="4"/>
    <x v="1"/>
  </r>
  <r>
    <s v="TX500726"/>
    <x v="6"/>
    <x v="2"/>
    <n v="86.3"/>
    <n v="258.89999999999998"/>
    <x v="30"/>
    <d v="2025-02-02T00:00:00"/>
    <s v="F"/>
    <x v="3"/>
    <x v="0"/>
    <s v="California"/>
    <s v="Alameda County"/>
    <x v="1"/>
    <x v="4"/>
    <x v="2"/>
  </r>
  <r>
    <s v="TX500727"/>
    <x v="1"/>
    <x v="13"/>
    <n v="73.599999999999994"/>
    <n v="441.59999999999997"/>
    <x v="30"/>
    <d v="2025-02-02T00:00:00"/>
    <s v="O"/>
    <x v="3"/>
    <x v="4"/>
    <s v="California"/>
    <s v="Humboldt County"/>
    <x v="1"/>
    <x v="4"/>
    <x v="3"/>
  </r>
  <r>
    <s v="TX500728"/>
    <x v="6"/>
    <x v="15"/>
    <n v="67.7"/>
    <n v="880.1"/>
    <x v="30"/>
    <d v="2025-02-02T00:00:00"/>
    <s v="F"/>
    <x v="0"/>
    <x v="2"/>
    <s v="California"/>
    <s v="Los Angeles County"/>
    <x v="1"/>
    <x v="4"/>
    <x v="2"/>
  </r>
  <r>
    <s v="TX500729"/>
    <x v="7"/>
    <x v="13"/>
    <n v="142.19999999999999"/>
    <n v="853.19999999999993"/>
    <x v="30"/>
    <d v="2025-02-01T00:00:00"/>
    <s v="F"/>
    <x v="2"/>
    <x v="4"/>
    <s v="California"/>
    <s v="Los Angeles County"/>
    <x v="3"/>
    <x v="4"/>
    <x v="2"/>
  </r>
  <r>
    <s v="TX500730"/>
    <x v="1"/>
    <x v="11"/>
    <n v="45.8"/>
    <n v="412.2"/>
    <x v="30"/>
    <d v="2025-02-02T00:00:00"/>
    <s v="F"/>
    <x v="1"/>
    <x v="2"/>
    <s v="California"/>
    <s v="Los Angeles County"/>
    <x v="1"/>
    <x v="4"/>
    <x v="2"/>
  </r>
  <r>
    <s v="TX500731"/>
    <x v="10"/>
    <x v="1"/>
    <n v="24.2"/>
    <n v="48.4"/>
    <x v="31"/>
    <d v="2025-02-04T00:00:00"/>
    <s v="F"/>
    <x v="3"/>
    <x v="2"/>
    <s v="California"/>
    <s v="Los Angeles County"/>
    <x v="2"/>
    <x v="4"/>
    <x v="2"/>
  </r>
  <r>
    <s v="TX500732"/>
    <x v="2"/>
    <x v="2"/>
    <n v="144.9"/>
    <n v="434.70000000000005"/>
    <x v="31"/>
    <d v="2025-02-02T00:00:00"/>
    <s v="O"/>
    <x v="2"/>
    <x v="2"/>
    <s v="California"/>
    <s v="Los Angeles County"/>
    <x v="3"/>
    <x v="4"/>
    <x v="3"/>
  </r>
  <r>
    <s v="TX500733"/>
    <x v="11"/>
    <x v="9"/>
    <n v="32.799999999999997"/>
    <n v="164"/>
    <x v="31"/>
    <d v="2025-02-04T00:00:00"/>
    <s v="F"/>
    <x v="2"/>
    <x v="0"/>
    <s v="California"/>
    <s v="Riverside County"/>
    <x v="2"/>
    <x v="4"/>
    <x v="2"/>
  </r>
  <r>
    <s v="TX500734"/>
    <x v="7"/>
    <x v="7"/>
    <n v="35.700000000000003"/>
    <n v="357"/>
    <x v="31"/>
    <d v="2025-02-01T00:00:00"/>
    <s v="F"/>
    <x v="0"/>
    <x v="1"/>
    <s v="California"/>
    <s v="Sacramento County"/>
    <x v="7"/>
    <x v="4"/>
    <x v="2"/>
  </r>
  <r>
    <s v="TX500735"/>
    <x v="9"/>
    <x v="1"/>
    <n v="54.6"/>
    <n v="109.2"/>
    <x v="31"/>
    <d v="2025-02-02T00:00:00"/>
    <s v="F"/>
    <x v="2"/>
    <x v="0"/>
    <s v="California"/>
    <s v="Sacramento County"/>
    <x v="3"/>
    <x v="4"/>
    <x v="2"/>
  </r>
  <r>
    <s v="TX500736"/>
    <x v="8"/>
    <x v="1"/>
    <n v="35.700000000000003"/>
    <n v="71.400000000000006"/>
    <x v="31"/>
    <d v="2025-02-04T00:00:00"/>
    <s v=""/>
    <x v="0"/>
    <x v="1"/>
    <s v="California"/>
    <s v="Sacramento County"/>
    <x v="2"/>
    <x v="4"/>
    <x v="0"/>
  </r>
  <r>
    <s v="TX500737"/>
    <x v="10"/>
    <x v="1"/>
    <n v="52.4"/>
    <n v="104.8"/>
    <x v="31"/>
    <d v="2025-02-01T00:00:00"/>
    <s v="F"/>
    <x v="0"/>
    <x v="3"/>
    <s v="California"/>
    <s v="Sacramento County"/>
    <x v="7"/>
    <x v="4"/>
    <x v="2"/>
  </r>
  <r>
    <s v="TX500738"/>
    <x v="8"/>
    <x v="21"/>
    <n v="16.2"/>
    <n v="226.79999999999998"/>
    <x v="31"/>
    <d v="2025-02-02T00:00:00"/>
    <s v=""/>
    <x v="0"/>
    <x v="1"/>
    <s v="California"/>
    <s v="San Diego County"/>
    <x v="3"/>
    <x v="4"/>
    <x v="0"/>
  </r>
  <r>
    <s v="TX500739"/>
    <x v="6"/>
    <x v="35"/>
    <n v="42.8"/>
    <n v="2011.6"/>
    <x v="31"/>
    <d v="2025-02-02T00:00:00"/>
    <s v="F"/>
    <x v="0"/>
    <x v="0"/>
    <s v="California"/>
    <s v="San Diego County"/>
    <x v="3"/>
    <x v="4"/>
    <x v="2"/>
  </r>
  <r>
    <s v="TX500740"/>
    <x v="6"/>
    <x v="11"/>
    <n v="144.4"/>
    <n v="1299.6000000000001"/>
    <x v="31"/>
    <d v="2025-02-04T00:00:00"/>
    <s v="F"/>
    <x v="4"/>
    <x v="0"/>
    <s v="California"/>
    <s v="San Diego County"/>
    <x v="2"/>
    <x v="4"/>
    <x v="2"/>
  </r>
  <r>
    <s v="TX500741"/>
    <x v="3"/>
    <x v="34"/>
    <n v="30.6"/>
    <n v="1101.6000000000001"/>
    <x v="31"/>
    <d v="2025-02-05T00:00:00"/>
    <s v="F"/>
    <x v="2"/>
    <x v="2"/>
    <s v="California"/>
    <s v="Santa Clara County"/>
    <x v="5"/>
    <x v="4"/>
    <x v="2"/>
  </r>
  <r>
    <s v="TX500742"/>
    <x v="2"/>
    <x v="1"/>
    <n v="117.5"/>
    <n v="235"/>
    <x v="31"/>
    <d v="2025-02-02T00:00:00"/>
    <s v="M"/>
    <x v="0"/>
    <x v="0"/>
    <s v="California"/>
    <s v="Stanislaus County"/>
    <x v="3"/>
    <x v="4"/>
    <x v="1"/>
  </r>
  <r>
    <s v="TX500743"/>
    <x v="6"/>
    <x v="1"/>
    <n v="105.7"/>
    <n v="211.4"/>
    <x v="31"/>
    <d v="2025-02-02T00:00:00"/>
    <s v="F"/>
    <x v="2"/>
    <x v="2"/>
    <s v="California"/>
    <s v="Alameda County"/>
    <x v="3"/>
    <x v="4"/>
    <x v="2"/>
  </r>
  <r>
    <s v="TX500744"/>
    <x v="3"/>
    <x v="2"/>
    <n v="133.69999999999999"/>
    <n v="401.09999999999997"/>
    <x v="31"/>
    <d v="2025-02-02T00:00:00"/>
    <s v=""/>
    <x v="4"/>
    <x v="2"/>
    <s v="California"/>
    <s v="Alameda County"/>
    <x v="3"/>
    <x v="4"/>
    <x v="0"/>
  </r>
  <r>
    <s v="TX500745"/>
    <x v="4"/>
    <x v="9"/>
    <n v="46.8"/>
    <n v="234"/>
    <x v="32"/>
    <d v="2025-02-10T00:00:00"/>
    <s v="F"/>
    <x v="0"/>
    <x v="1"/>
    <s v="California"/>
    <s v="Alameda County"/>
    <x v="9"/>
    <x v="5"/>
    <x v="2"/>
  </r>
  <r>
    <s v="TX500746"/>
    <x v="10"/>
    <x v="2"/>
    <n v="58.4"/>
    <n v="175.2"/>
    <x v="32"/>
    <d v="2025-02-04T00:00:00"/>
    <s v="F"/>
    <x v="0"/>
    <x v="0"/>
    <s v="California"/>
    <s v="Contra Costa County"/>
    <x v="1"/>
    <x v="5"/>
    <x v="2"/>
  </r>
  <r>
    <s v="TX500747"/>
    <x v="6"/>
    <x v="11"/>
    <n v="65.099999999999994"/>
    <n v="585.9"/>
    <x v="32"/>
    <d v="2025-02-06T00:00:00"/>
    <s v="M"/>
    <x v="1"/>
    <x v="2"/>
    <s v="California"/>
    <s v="Kern County"/>
    <x v="5"/>
    <x v="5"/>
    <x v="1"/>
  </r>
  <r>
    <s v="TX500748"/>
    <x v="8"/>
    <x v="0"/>
    <n v="18.600000000000001"/>
    <n v="18.600000000000001"/>
    <x v="32"/>
    <d v="2025-02-05T00:00:00"/>
    <s v="F"/>
    <x v="0"/>
    <x v="4"/>
    <s v="California"/>
    <s v="Kern County"/>
    <x v="2"/>
    <x v="5"/>
    <x v="2"/>
  </r>
  <r>
    <s v="TX500749"/>
    <x v="1"/>
    <x v="5"/>
    <n v="92.3"/>
    <n v="1015.3"/>
    <x v="32"/>
    <d v="2025-02-04T00:00:00"/>
    <s v="M"/>
    <x v="1"/>
    <x v="0"/>
    <s v="California"/>
    <s v="Los Angeles County"/>
    <x v="1"/>
    <x v="5"/>
    <x v="1"/>
  </r>
  <r>
    <s v="TX500750"/>
    <x v="6"/>
    <x v="2"/>
    <n v="81.7"/>
    <n v="245.10000000000002"/>
    <x v="32"/>
    <d v="2025-02-03T00:00:00"/>
    <s v=""/>
    <x v="4"/>
    <x v="4"/>
    <s v="California"/>
    <s v="Los Angeles County"/>
    <x v="3"/>
    <x v="5"/>
    <x v="0"/>
  </r>
  <r>
    <s v="TX500751"/>
    <x v="8"/>
    <x v="1"/>
    <n v="40.9"/>
    <n v="81.8"/>
    <x v="32"/>
    <d v="2025-02-04T00:00:00"/>
    <s v="M"/>
    <x v="0"/>
    <x v="1"/>
    <s v="California"/>
    <s v="Los Angeles County"/>
    <x v="1"/>
    <x v="5"/>
    <x v="1"/>
  </r>
  <r>
    <s v="TX500752"/>
    <x v="6"/>
    <x v="12"/>
    <n v="43.2"/>
    <n v="172.8"/>
    <x v="32"/>
    <d v="2025-02-08T00:00:00"/>
    <s v="F"/>
    <x v="0"/>
    <x v="1"/>
    <s v="California"/>
    <s v="Los Angeles County"/>
    <x v="4"/>
    <x v="5"/>
    <x v="2"/>
  </r>
  <r>
    <s v="TX500753"/>
    <x v="8"/>
    <x v="5"/>
    <n v="25.8"/>
    <n v="283.8"/>
    <x v="32"/>
    <d v="2025-02-05T00:00:00"/>
    <s v="M"/>
    <x v="2"/>
    <x v="1"/>
    <s v="California"/>
    <s v="Los Angeles County"/>
    <x v="2"/>
    <x v="5"/>
    <x v="1"/>
  </r>
  <r>
    <s v="TX500754"/>
    <x v="15"/>
    <x v="12"/>
    <n v="36.4"/>
    <n v="145.6"/>
    <x v="32"/>
    <d v="2025-02-03T00:00:00"/>
    <s v="M"/>
    <x v="0"/>
    <x v="0"/>
    <s v="California"/>
    <s v="Los Angeles County"/>
    <x v="3"/>
    <x v="5"/>
    <x v="1"/>
  </r>
  <r>
    <s v="TX500755"/>
    <x v="10"/>
    <x v="0"/>
    <n v="59.1"/>
    <n v="59.1"/>
    <x v="32"/>
    <d v="2025-02-03T00:00:00"/>
    <s v="F"/>
    <x v="2"/>
    <x v="0"/>
    <s v="California"/>
    <s v="San Bernardino County"/>
    <x v="3"/>
    <x v="5"/>
    <x v="2"/>
  </r>
  <r>
    <s v="TX500756"/>
    <x v="2"/>
    <x v="14"/>
    <n v="74.5"/>
    <n v="1266.5"/>
    <x v="32"/>
    <d v="2025-02-04T00:00:00"/>
    <s v="M"/>
    <x v="4"/>
    <x v="0"/>
    <s v="California"/>
    <s v="Sonoma County"/>
    <x v="1"/>
    <x v="5"/>
    <x v="1"/>
  </r>
  <r>
    <s v="TX500757"/>
    <x v="5"/>
    <x v="0"/>
    <n v="72.8"/>
    <n v="72.8"/>
    <x v="32"/>
    <d v="2025-02-03T00:00:00"/>
    <s v="F"/>
    <x v="0"/>
    <x v="1"/>
    <s v="California"/>
    <s v="Stanislaus County"/>
    <x v="3"/>
    <x v="5"/>
    <x v="2"/>
  </r>
  <r>
    <s v="TX500758"/>
    <x v="6"/>
    <x v="12"/>
    <n v="137.30000000000001"/>
    <n v="549.20000000000005"/>
    <x v="32"/>
    <d v="2025-02-05T00:00:00"/>
    <s v="F"/>
    <x v="0"/>
    <x v="0"/>
    <s v="California"/>
    <s v="Ventura County"/>
    <x v="2"/>
    <x v="5"/>
    <x v="2"/>
  </r>
  <r>
    <s v="TX500759"/>
    <x v="1"/>
    <x v="2"/>
    <n v="48.7"/>
    <n v="146.10000000000002"/>
    <x v="32"/>
    <d v="2025-02-07T00:00:00"/>
    <s v="F"/>
    <x v="0"/>
    <x v="1"/>
    <s v="California"/>
    <s v="Alameda County"/>
    <x v="0"/>
    <x v="5"/>
    <x v="2"/>
  </r>
  <r>
    <s v="TX500760"/>
    <x v="6"/>
    <x v="12"/>
    <n v="53.7"/>
    <n v="214.8"/>
    <x v="32"/>
    <d v="2025-02-06T00:00:00"/>
    <s v="M"/>
    <x v="1"/>
    <x v="4"/>
    <s v="California"/>
    <s v="Fresno County"/>
    <x v="5"/>
    <x v="5"/>
    <x v="1"/>
  </r>
  <r>
    <s v="TX500761"/>
    <x v="2"/>
    <x v="3"/>
    <n v="100.9"/>
    <n v="706.30000000000007"/>
    <x v="32"/>
    <d v="2025-02-04T00:00:00"/>
    <s v="F"/>
    <x v="0"/>
    <x v="1"/>
    <s v="California"/>
    <s v="Fresno County"/>
    <x v="1"/>
    <x v="5"/>
    <x v="2"/>
  </r>
  <r>
    <s v="TX500762"/>
    <x v="10"/>
    <x v="1"/>
    <n v="41.8"/>
    <n v="83.6"/>
    <x v="32"/>
    <d v="2025-02-06T00:00:00"/>
    <s v="M"/>
    <x v="3"/>
    <x v="2"/>
    <s v="California"/>
    <s v="Kern County"/>
    <x v="5"/>
    <x v="5"/>
    <x v="1"/>
  </r>
  <r>
    <s v="TX500763"/>
    <x v="4"/>
    <x v="8"/>
    <n v="28.5"/>
    <n v="228"/>
    <x v="32"/>
    <d v="2025-02-04T00:00:00"/>
    <s v="M"/>
    <x v="2"/>
    <x v="1"/>
    <s v="California"/>
    <s v="Los Angeles County"/>
    <x v="1"/>
    <x v="5"/>
    <x v="1"/>
  </r>
  <r>
    <s v="TX500764"/>
    <x v="7"/>
    <x v="12"/>
    <n v="88.9"/>
    <n v="355.6"/>
    <x v="32"/>
    <d v="2025-02-05T00:00:00"/>
    <s v="F"/>
    <x v="0"/>
    <x v="2"/>
    <s v="California"/>
    <s v="Los Angeles County"/>
    <x v="2"/>
    <x v="5"/>
    <x v="2"/>
  </r>
  <r>
    <s v="TX500765"/>
    <x v="6"/>
    <x v="0"/>
    <n v="62.5"/>
    <n v="62.5"/>
    <x v="32"/>
    <d v="2025-02-11T00:00:00"/>
    <s v="F"/>
    <x v="0"/>
    <x v="2"/>
    <s v="California"/>
    <s v="Los Angeles County"/>
    <x v="8"/>
    <x v="5"/>
    <x v="2"/>
  </r>
  <r>
    <s v="TX500766"/>
    <x v="1"/>
    <x v="2"/>
    <n v="46.9"/>
    <n v="140.69999999999999"/>
    <x v="32"/>
    <d v="2025-02-03T00:00:00"/>
    <s v="M"/>
    <x v="0"/>
    <x v="2"/>
    <s v="California"/>
    <s v="Los Angeles County"/>
    <x v="3"/>
    <x v="5"/>
    <x v="1"/>
  </r>
  <r>
    <s v="TX500767"/>
    <x v="8"/>
    <x v="2"/>
    <n v="45"/>
    <n v="135"/>
    <x v="32"/>
    <d v="2025-02-16T00:00:00"/>
    <s v="M"/>
    <x v="1"/>
    <x v="0"/>
    <s v="California"/>
    <s v="Los Angeles County"/>
    <x v="12"/>
    <x v="5"/>
    <x v="1"/>
  </r>
  <r>
    <s v="TX500768"/>
    <x v="6"/>
    <x v="2"/>
    <n v="45.2"/>
    <n v="135.60000000000002"/>
    <x v="32"/>
    <d v="2025-02-04T00:00:00"/>
    <s v="M"/>
    <x v="4"/>
    <x v="2"/>
    <s v="California"/>
    <s v="Los Angeles County"/>
    <x v="1"/>
    <x v="5"/>
    <x v="1"/>
  </r>
  <r>
    <s v="TX500769"/>
    <x v="4"/>
    <x v="1"/>
    <n v="60.1"/>
    <n v="120.2"/>
    <x v="32"/>
    <d v="2025-02-03T00:00:00"/>
    <s v="F"/>
    <x v="0"/>
    <x v="2"/>
    <s v="California"/>
    <s v="Los Angeles County"/>
    <x v="3"/>
    <x v="5"/>
    <x v="2"/>
  </r>
  <r>
    <s v="TX500770"/>
    <x v="12"/>
    <x v="12"/>
    <n v="118.7"/>
    <n v="474.8"/>
    <x v="32"/>
    <d v="2025-02-04T00:00:00"/>
    <s v="F"/>
    <x v="0"/>
    <x v="0"/>
    <s v="California"/>
    <s v="Los Angeles County"/>
    <x v="1"/>
    <x v="5"/>
    <x v="2"/>
  </r>
  <r>
    <s v="TX500771"/>
    <x v="9"/>
    <x v="0"/>
    <n v="57.8"/>
    <n v="57.8"/>
    <x v="32"/>
    <d v="2025-02-11T00:00:00"/>
    <s v="F"/>
    <x v="1"/>
    <x v="0"/>
    <s v="California"/>
    <s v="Los Angeles County"/>
    <x v="8"/>
    <x v="5"/>
    <x v="2"/>
  </r>
  <r>
    <s v="TX500772"/>
    <x v="4"/>
    <x v="0"/>
    <n v="19.5"/>
    <n v="19.5"/>
    <x v="32"/>
    <d v="2025-02-03T00:00:00"/>
    <s v="M"/>
    <x v="1"/>
    <x v="1"/>
    <s v="California"/>
    <s v="Los Angeles County"/>
    <x v="3"/>
    <x v="5"/>
    <x v="1"/>
  </r>
  <r>
    <s v="TX500773"/>
    <x v="12"/>
    <x v="0"/>
    <n v="42.6"/>
    <n v="42.6"/>
    <x v="32"/>
    <d v="2025-02-03T00:00:00"/>
    <s v="M"/>
    <x v="0"/>
    <x v="1"/>
    <s v="California"/>
    <s v="Los Angeles County"/>
    <x v="3"/>
    <x v="5"/>
    <x v="1"/>
  </r>
  <r>
    <s v="TX500774"/>
    <x v="6"/>
    <x v="1"/>
    <n v="74.8"/>
    <n v="149.6"/>
    <x v="32"/>
    <d v="2025-02-03T00:00:00"/>
    <s v="F"/>
    <x v="3"/>
    <x v="2"/>
    <s v="California"/>
    <s v="Madera County"/>
    <x v="3"/>
    <x v="5"/>
    <x v="2"/>
  </r>
  <r>
    <s v="TX500775"/>
    <x v="8"/>
    <x v="2"/>
    <n v="32.5"/>
    <n v="97.5"/>
    <x v="32"/>
    <d v="2025-02-03T00:00:00"/>
    <s v="M"/>
    <x v="2"/>
    <x v="4"/>
    <s v="California"/>
    <s v="Napa County"/>
    <x v="3"/>
    <x v="5"/>
    <x v="1"/>
  </r>
  <r>
    <s v="TX500776"/>
    <x v="2"/>
    <x v="2"/>
    <n v="60.5"/>
    <n v="181.5"/>
    <x v="32"/>
    <d v="2025-02-02T00:00:00"/>
    <s v="F"/>
    <x v="1"/>
    <x v="2"/>
    <s v="California"/>
    <s v="Orange County"/>
    <x v="7"/>
    <x v="5"/>
    <x v="2"/>
  </r>
  <r>
    <s v="TX500777"/>
    <x v="1"/>
    <x v="3"/>
    <n v="57.2"/>
    <n v="400.40000000000003"/>
    <x v="32"/>
    <d v="2025-02-04T00:00:00"/>
    <s v=""/>
    <x v="2"/>
    <x v="0"/>
    <s v="California"/>
    <s v="Orange County"/>
    <x v="1"/>
    <x v="5"/>
    <x v="0"/>
  </r>
  <r>
    <s v="TX500778"/>
    <x v="16"/>
    <x v="1"/>
    <n v="112"/>
    <n v="224"/>
    <x v="32"/>
    <d v="2025-02-03T00:00:00"/>
    <s v="F"/>
    <x v="1"/>
    <x v="1"/>
    <s v="California"/>
    <s v="Placer County"/>
    <x v="3"/>
    <x v="5"/>
    <x v="2"/>
  </r>
  <r>
    <s v="TX500779"/>
    <x v="7"/>
    <x v="7"/>
    <n v="49"/>
    <n v="490"/>
    <x v="32"/>
    <d v="2025-02-03T00:00:00"/>
    <s v="O"/>
    <x v="2"/>
    <x v="1"/>
    <s v="California"/>
    <s v="Sacramento County"/>
    <x v="3"/>
    <x v="5"/>
    <x v="3"/>
  </r>
  <r>
    <s v="TX500780"/>
    <x v="0"/>
    <x v="1"/>
    <n v="33.700000000000003"/>
    <n v="67.400000000000006"/>
    <x v="32"/>
    <d v="2025-02-06T00:00:00"/>
    <s v="F"/>
    <x v="3"/>
    <x v="0"/>
    <s v="California"/>
    <s v="Sacramento County"/>
    <x v="5"/>
    <x v="5"/>
    <x v="2"/>
  </r>
  <r>
    <s v="TX500781"/>
    <x v="4"/>
    <x v="2"/>
    <n v="35.6"/>
    <n v="106.80000000000001"/>
    <x v="32"/>
    <d v="2025-02-05T00:00:00"/>
    <s v="F"/>
    <x v="0"/>
    <x v="2"/>
    <s v="California"/>
    <s v="Sacramento County"/>
    <x v="2"/>
    <x v="5"/>
    <x v="2"/>
  </r>
  <r>
    <s v="TX500782"/>
    <x v="4"/>
    <x v="36"/>
    <n v="30.4"/>
    <n v="1064"/>
    <x v="33"/>
    <d v="2025-02-03T00:00:00"/>
    <s v="F"/>
    <x v="0"/>
    <x v="1"/>
    <s v="California"/>
    <s v="San Bernardino County"/>
    <x v="7"/>
    <x v="5"/>
    <x v="2"/>
  </r>
  <r>
    <s v="TX500783"/>
    <x v="10"/>
    <x v="4"/>
    <n v="50.2"/>
    <n v="602.40000000000009"/>
    <x v="33"/>
    <d v="2025-02-04T00:00:00"/>
    <s v="M"/>
    <x v="4"/>
    <x v="0"/>
    <s v="California"/>
    <s v="San Diego County"/>
    <x v="3"/>
    <x v="5"/>
    <x v="1"/>
  </r>
  <r>
    <s v="TX500784"/>
    <x v="1"/>
    <x v="1"/>
    <n v="43.7"/>
    <n v="87.4"/>
    <x v="33"/>
    <d v="2025-02-05T00:00:00"/>
    <s v="F"/>
    <x v="0"/>
    <x v="0"/>
    <s v="California"/>
    <s v="San Diego County"/>
    <x v="1"/>
    <x v="5"/>
    <x v="2"/>
  </r>
  <r>
    <s v="TX500785"/>
    <x v="10"/>
    <x v="0"/>
    <n v="33.299999999999997"/>
    <n v="33.299999999999997"/>
    <x v="33"/>
    <d v="2025-02-04T00:00:00"/>
    <s v="F"/>
    <x v="2"/>
    <x v="1"/>
    <s v="California"/>
    <s v="San Diego County"/>
    <x v="3"/>
    <x v="5"/>
    <x v="2"/>
  </r>
  <r>
    <s v="TX500786"/>
    <x v="8"/>
    <x v="12"/>
    <n v="15.1"/>
    <n v="60.4"/>
    <x v="33"/>
    <d v="2025-02-05T00:00:00"/>
    <s v="F"/>
    <x v="4"/>
    <x v="2"/>
    <s v="California"/>
    <s v="San Diego County"/>
    <x v="1"/>
    <x v="5"/>
    <x v="2"/>
  </r>
  <r>
    <s v="TX500787"/>
    <x v="6"/>
    <x v="9"/>
    <n v="118.2"/>
    <n v="591"/>
    <x v="33"/>
    <d v="2025-02-04T00:00:00"/>
    <s v="F"/>
    <x v="3"/>
    <x v="4"/>
    <s v="California"/>
    <s v="San Diego County"/>
    <x v="3"/>
    <x v="5"/>
    <x v="2"/>
  </r>
  <r>
    <s v="TX500788"/>
    <x v="10"/>
    <x v="2"/>
    <n v="28.9"/>
    <n v="86.699999999999989"/>
    <x v="33"/>
    <d v="2025-02-05T00:00:00"/>
    <s v="F"/>
    <x v="2"/>
    <x v="1"/>
    <s v="California"/>
    <s v="San Diego County"/>
    <x v="1"/>
    <x v="5"/>
    <x v="2"/>
  </r>
  <r>
    <s v="TX500789"/>
    <x v="4"/>
    <x v="2"/>
    <n v="55.6"/>
    <n v="166.8"/>
    <x v="33"/>
    <d v="2025-02-04T00:00:00"/>
    <s v="M"/>
    <x v="0"/>
    <x v="1"/>
    <s v="California"/>
    <s v="San Diego County"/>
    <x v="3"/>
    <x v="5"/>
    <x v="1"/>
  </r>
  <r>
    <s v="TX500790"/>
    <x v="9"/>
    <x v="12"/>
    <n v="25.6"/>
    <n v="102.4"/>
    <x v="33"/>
    <d v="2025-02-05T00:00:00"/>
    <s v="F"/>
    <x v="0"/>
    <x v="1"/>
    <s v="California"/>
    <s v="San Diego County"/>
    <x v="1"/>
    <x v="5"/>
    <x v="2"/>
  </r>
  <r>
    <s v="TX500791"/>
    <x v="7"/>
    <x v="2"/>
    <n v="31.3"/>
    <n v="93.9"/>
    <x v="33"/>
    <d v="2025-02-04T00:00:00"/>
    <s v="M"/>
    <x v="0"/>
    <x v="0"/>
    <s v="California"/>
    <s v="San Francisco"/>
    <x v="3"/>
    <x v="5"/>
    <x v="1"/>
  </r>
  <r>
    <s v="TX500792"/>
    <x v="0"/>
    <x v="2"/>
    <n v="22.1"/>
    <n v="66.300000000000011"/>
    <x v="33"/>
    <d v="2025-02-07T00:00:00"/>
    <s v="M"/>
    <x v="0"/>
    <x v="0"/>
    <s v="California"/>
    <s v="San Francisco"/>
    <x v="5"/>
    <x v="5"/>
    <x v="1"/>
  </r>
  <r>
    <s v="TX500793"/>
    <x v="2"/>
    <x v="21"/>
    <n v="99.4"/>
    <n v="1391.6000000000001"/>
    <x v="33"/>
    <d v="2025-02-04T00:00:00"/>
    <s v="M"/>
    <x v="1"/>
    <x v="0"/>
    <s v="California"/>
    <s v="Santa Clara County"/>
    <x v="3"/>
    <x v="5"/>
    <x v="1"/>
  </r>
  <r>
    <s v="TX500794"/>
    <x v="7"/>
    <x v="13"/>
    <n v="66.599999999999994"/>
    <n v="399.59999999999997"/>
    <x v="33"/>
    <d v="2025-02-04T00:00:00"/>
    <s v="F"/>
    <x v="0"/>
    <x v="0"/>
    <s v="California"/>
    <s v="Santa Clara County"/>
    <x v="3"/>
    <x v="5"/>
    <x v="2"/>
  </r>
  <r>
    <s v="TX500795"/>
    <x v="8"/>
    <x v="1"/>
    <n v="22.6"/>
    <n v="45.2"/>
    <x v="33"/>
    <d v="2025-02-06T00:00:00"/>
    <s v="M"/>
    <x v="0"/>
    <x v="0"/>
    <s v="California"/>
    <s v="Santa Clara County"/>
    <x v="2"/>
    <x v="5"/>
    <x v="1"/>
  </r>
  <r>
    <s v="TX500796"/>
    <x v="2"/>
    <x v="16"/>
    <n v="66.8"/>
    <n v="1202.3999999999999"/>
    <x v="33"/>
    <d v="2025-02-04T00:00:00"/>
    <s v="F"/>
    <x v="0"/>
    <x v="4"/>
    <s v="California"/>
    <s v="Ventura County"/>
    <x v="3"/>
    <x v="5"/>
    <x v="2"/>
  </r>
  <r>
    <s v="TX500797"/>
    <x v="0"/>
    <x v="12"/>
    <n v="20.8"/>
    <n v="83.2"/>
    <x v="33"/>
    <d v="2025-02-10T00:00:00"/>
    <s v="M"/>
    <x v="1"/>
    <x v="4"/>
    <s v="California"/>
    <s v="Contra Costa County"/>
    <x v="6"/>
    <x v="5"/>
    <x v="1"/>
  </r>
  <r>
    <s v="TX500798"/>
    <x v="2"/>
    <x v="3"/>
    <n v="102.5"/>
    <n v="717.5"/>
    <x v="33"/>
    <d v="2025-02-04T00:00:00"/>
    <s v="F"/>
    <x v="4"/>
    <x v="2"/>
    <s v="California"/>
    <s v="Los Angeles County"/>
    <x v="3"/>
    <x v="5"/>
    <x v="2"/>
  </r>
  <r>
    <s v="TX500799"/>
    <x v="0"/>
    <x v="16"/>
    <n v="24.8"/>
    <n v="446.40000000000003"/>
    <x v="33"/>
    <d v="2025-02-07T00:00:00"/>
    <s v="F"/>
    <x v="0"/>
    <x v="0"/>
    <s v="California"/>
    <s v="Los Angeles County"/>
    <x v="5"/>
    <x v="5"/>
    <x v="2"/>
  </r>
  <r>
    <s v="TX500800"/>
    <x v="4"/>
    <x v="37"/>
    <n v="31.4"/>
    <n v="973.4"/>
    <x v="33"/>
    <d v="2025-02-04T00:00:00"/>
    <s v="F"/>
    <x v="3"/>
    <x v="0"/>
    <s v="California"/>
    <s v="Los Angeles County"/>
    <x v="3"/>
    <x v="5"/>
    <x v="2"/>
  </r>
  <r>
    <s v="TX500801"/>
    <x v="9"/>
    <x v="9"/>
    <n v="59.3"/>
    <n v="296.5"/>
    <x v="33"/>
    <d v="2025-02-06T00:00:00"/>
    <s v="M"/>
    <x v="1"/>
    <x v="2"/>
    <s v="California"/>
    <s v="Marin County"/>
    <x v="2"/>
    <x v="5"/>
    <x v="1"/>
  </r>
  <r>
    <s v="TX500802"/>
    <x v="11"/>
    <x v="13"/>
    <n v="39"/>
    <n v="234"/>
    <x v="33"/>
    <d v="2025-02-06T00:00:00"/>
    <s v="M"/>
    <x v="1"/>
    <x v="0"/>
    <s v="California"/>
    <s v="Sacramento County"/>
    <x v="2"/>
    <x v="5"/>
    <x v="1"/>
  </r>
  <r>
    <s v="TX500803"/>
    <x v="5"/>
    <x v="13"/>
    <n v="98.6"/>
    <n v="591.59999999999991"/>
    <x v="33"/>
    <d v="2025-02-05T00:00:00"/>
    <s v="F"/>
    <x v="1"/>
    <x v="0"/>
    <s v="California"/>
    <s v="Sacramento County"/>
    <x v="1"/>
    <x v="5"/>
    <x v="2"/>
  </r>
  <r>
    <s v="TX500804"/>
    <x v="8"/>
    <x v="0"/>
    <n v="20"/>
    <n v="20"/>
    <x v="34"/>
    <d v="2025-02-05T00:00:00"/>
    <s v="M"/>
    <x v="3"/>
    <x v="2"/>
    <s v="California"/>
    <s v="San Diego County"/>
    <x v="3"/>
    <x v="5"/>
    <x v="1"/>
  </r>
  <r>
    <s v="TX500805"/>
    <x v="1"/>
    <x v="1"/>
    <n v="42.9"/>
    <n v="85.8"/>
    <x v="34"/>
    <d v="2025-02-06T00:00:00"/>
    <s v="F"/>
    <x v="0"/>
    <x v="2"/>
    <s v="California"/>
    <s v="San Diego County"/>
    <x v="1"/>
    <x v="5"/>
    <x v="2"/>
  </r>
  <r>
    <s v="TX500806"/>
    <x v="7"/>
    <x v="3"/>
    <n v="55.6"/>
    <n v="389.2"/>
    <x v="34"/>
    <d v="2025-02-06T00:00:00"/>
    <s v="F"/>
    <x v="2"/>
    <x v="1"/>
    <s v="California"/>
    <s v="San Diego County"/>
    <x v="1"/>
    <x v="5"/>
    <x v="2"/>
  </r>
  <r>
    <s v="TX500807"/>
    <x v="8"/>
    <x v="12"/>
    <n v="19.2"/>
    <n v="76.8"/>
    <x v="34"/>
    <d v="2025-02-09T00:00:00"/>
    <s v="F"/>
    <x v="0"/>
    <x v="0"/>
    <s v="California"/>
    <s v="San Luis Obispo County"/>
    <x v="0"/>
    <x v="5"/>
    <x v="2"/>
  </r>
  <r>
    <s v="TX500808"/>
    <x v="5"/>
    <x v="1"/>
    <n v="28.8"/>
    <n v="57.6"/>
    <x v="34"/>
    <d v="2025-02-06T00:00:00"/>
    <s v="M"/>
    <x v="1"/>
    <x v="0"/>
    <s v="California"/>
    <s v="Sonoma County"/>
    <x v="1"/>
    <x v="5"/>
    <x v="1"/>
  </r>
  <r>
    <s v="TX500809"/>
    <x v="4"/>
    <x v="0"/>
    <n v="29.7"/>
    <n v="29.7"/>
    <x v="34"/>
    <d v="2025-02-06T00:00:00"/>
    <s v="F"/>
    <x v="2"/>
    <x v="4"/>
    <s v="California"/>
    <s v="Tulare County"/>
    <x v="1"/>
    <x v="5"/>
    <x v="2"/>
  </r>
  <r>
    <s v="TX500810"/>
    <x v="6"/>
    <x v="13"/>
    <n v="63.3"/>
    <n v="379.79999999999995"/>
    <x v="34"/>
    <d v="2025-02-05T00:00:00"/>
    <s v=""/>
    <x v="0"/>
    <x v="2"/>
    <s v="California"/>
    <s v="Alameda County"/>
    <x v="3"/>
    <x v="5"/>
    <x v="0"/>
  </r>
  <r>
    <s v="TX500811"/>
    <x v="4"/>
    <x v="0"/>
    <n v="46"/>
    <n v="46"/>
    <x v="34"/>
    <d v="2025-02-05T00:00:00"/>
    <s v="F"/>
    <x v="0"/>
    <x v="2"/>
    <s v="California"/>
    <s v="Alameda County"/>
    <x v="3"/>
    <x v="5"/>
    <x v="2"/>
  </r>
  <r>
    <s v="TX500812"/>
    <x v="11"/>
    <x v="2"/>
    <n v="38"/>
    <n v="114"/>
    <x v="34"/>
    <d v="2025-02-06T00:00:00"/>
    <s v="F"/>
    <x v="1"/>
    <x v="2"/>
    <s v="California"/>
    <s v="Alameda County"/>
    <x v="1"/>
    <x v="5"/>
    <x v="2"/>
  </r>
  <r>
    <s v="TX500813"/>
    <x v="10"/>
    <x v="15"/>
    <n v="34.6"/>
    <n v="449.8"/>
    <x v="34"/>
    <d v="2025-02-06T00:00:00"/>
    <s v="F"/>
    <x v="0"/>
    <x v="1"/>
    <s v="California"/>
    <s v="Alameda County"/>
    <x v="1"/>
    <x v="5"/>
    <x v="2"/>
  </r>
  <r>
    <s v="TX500814"/>
    <x v="3"/>
    <x v="7"/>
    <n v="79.7"/>
    <n v="797"/>
    <x v="34"/>
    <d v="2025-02-05T00:00:00"/>
    <s v="F"/>
    <x v="4"/>
    <x v="1"/>
    <s v="California"/>
    <s v="Alameda County"/>
    <x v="3"/>
    <x v="5"/>
    <x v="2"/>
  </r>
  <r>
    <s v="TX500815"/>
    <x v="8"/>
    <x v="8"/>
    <n v="30.5"/>
    <n v="244"/>
    <x v="34"/>
    <d v="2025-02-08T00:00:00"/>
    <s v="M"/>
    <x v="3"/>
    <x v="0"/>
    <s v="California"/>
    <s v="Contra Costa County"/>
    <x v="5"/>
    <x v="5"/>
    <x v="1"/>
  </r>
  <r>
    <s v="TX500816"/>
    <x v="0"/>
    <x v="1"/>
    <n v="20.8"/>
    <n v="41.6"/>
    <x v="34"/>
    <d v="2025-02-05T00:00:00"/>
    <s v="F"/>
    <x v="0"/>
    <x v="0"/>
    <s v="California"/>
    <s v="Fresno County"/>
    <x v="3"/>
    <x v="5"/>
    <x v="2"/>
  </r>
  <r>
    <s v="TX500817"/>
    <x v="11"/>
    <x v="3"/>
    <n v="48.5"/>
    <n v="339.5"/>
    <x v="34"/>
    <d v="2025-02-08T00:00:00"/>
    <s v="F"/>
    <x v="2"/>
    <x v="2"/>
    <s v="California"/>
    <s v="Fresno County"/>
    <x v="5"/>
    <x v="5"/>
    <x v="2"/>
  </r>
  <r>
    <s v="TX500818"/>
    <x v="2"/>
    <x v="12"/>
    <n v="61.8"/>
    <n v="247.2"/>
    <x v="34"/>
    <d v="2025-02-08T00:00:00"/>
    <s v="F"/>
    <x v="4"/>
    <x v="0"/>
    <s v="California"/>
    <s v="Kern County"/>
    <x v="5"/>
    <x v="5"/>
    <x v="2"/>
  </r>
  <r>
    <s v="TX500819"/>
    <x v="10"/>
    <x v="0"/>
    <n v="46.1"/>
    <n v="46.1"/>
    <x v="34"/>
    <d v="2025-02-05T00:00:00"/>
    <s v="O"/>
    <x v="2"/>
    <x v="0"/>
    <s v="California"/>
    <s v="Los Angeles County"/>
    <x v="3"/>
    <x v="5"/>
    <x v="3"/>
  </r>
  <r>
    <s v="TX500820"/>
    <x v="4"/>
    <x v="13"/>
    <n v="44"/>
    <n v="264"/>
    <x v="34"/>
    <d v="2025-02-05T00:00:00"/>
    <s v="F"/>
    <x v="0"/>
    <x v="0"/>
    <s v="California"/>
    <s v="Los Angeles County"/>
    <x v="3"/>
    <x v="5"/>
    <x v="2"/>
  </r>
  <r>
    <s v="TX500821"/>
    <x v="18"/>
    <x v="1"/>
    <n v="95.7"/>
    <n v="191.4"/>
    <x v="34"/>
    <d v="2025-02-10T00:00:00"/>
    <s v="F"/>
    <x v="3"/>
    <x v="2"/>
    <s v="California"/>
    <s v="Los Angeles County"/>
    <x v="4"/>
    <x v="5"/>
    <x v="2"/>
  </r>
  <r>
    <s v="TX500822"/>
    <x v="7"/>
    <x v="9"/>
    <n v="46.4"/>
    <n v="232"/>
    <x v="34"/>
    <d v="2025-02-07T00:00:00"/>
    <s v="F"/>
    <x v="0"/>
    <x v="0"/>
    <s v="California"/>
    <s v="Los Angeles County"/>
    <x v="2"/>
    <x v="5"/>
    <x v="2"/>
  </r>
  <r>
    <s v="TX500823"/>
    <x v="6"/>
    <x v="1"/>
    <n v="47.2"/>
    <n v="94.4"/>
    <x v="34"/>
    <d v="2025-02-06T00:00:00"/>
    <s v="F"/>
    <x v="0"/>
    <x v="2"/>
    <s v="California"/>
    <s v="Los Angeles County"/>
    <x v="1"/>
    <x v="5"/>
    <x v="2"/>
  </r>
  <r>
    <s v="TX500824"/>
    <x v="7"/>
    <x v="1"/>
    <n v="58.6"/>
    <n v="117.2"/>
    <x v="34"/>
    <d v="2025-02-05T00:00:00"/>
    <s v="F"/>
    <x v="2"/>
    <x v="1"/>
    <s v="California"/>
    <s v="Los Angeles County"/>
    <x v="3"/>
    <x v="5"/>
    <x v="2"/>
  </r>
  <r>
    <s v="TX500825"/>
    <x v="4"/>
    <x v="2"/>
    <n v="57"/>
    <n v="171"/>
    <x v="34"/>
    <d v="2025-02-05T00:00:00"/>
    <s v="M"/>
    <x v="0"/>
    <x v="2"/>
    <s v="California"/>
    <s v="Los Angeles County"/>
    <x v="3"/>
    <x v="5"/>
    <x v="1"/>
  </r>
  <r>
    <s v="TX500826"/>
    <x v="8"/>
    <x v="12"/>
    <n v="28.9"/>
    <n v="115.6"/>
    <x v="34"/>
    <d v="2025-02-08T00:00:00"/>
    <s v="M"/>
    <x v="2"/>
    <x v="0"/>
    <s v="California"/>
    <s v="Los Angeles County"/>
    <x v="5"/>
    <x v="5"/>
    <x v="1"/>
  </r>
  <r>
    <s v="TX500827"/>
    <x v="12"/>
    <x v="9"/>
    <n v="60.7"/>
    <n v="303.5"/>
    <x v="34"/>
    <d v="2025-02-08T00:00:00"/>
    <s v=""/>
    <x v="1"/>
    <x v="1"/>
    <s v="California"/>
    <s v="Los Angeles County"/>
    <x v="5"/>
    <x v="5"/>
    <x v="0"/>
  </r>
  <r>
    <s v="TX500828"/>
    <x v="6"/>
    <x v="9"/>
    <n v="60.8"/>
    <n v="304"/>
    <x v="34"/>
    <d v="2025-02-08T00:00:00"/>
    <s v="M"/>
    <x v="0"/>
    <x v="1"/>
    <s v="California"/>
    <s v="Los Angeles County"/>
    <x v="5"/>
    <x v="5"/>
    <x v="1"/>
  </r>
  <r>
    <s v="TX500829"/>
    <x v="6"/>
    <x v="9"/>
    <n v="64.599999999999994"/>
    <n v="323"/>
    <x v="34"/>
    <d v="2025-02-05T00:00:00"/>
    <s v="F"/>
    <x v="3"/>
    <x v="0"/>
    <s v="California"/>
    <s v="Los Angeles County"/>
    <x v="3"/>
    <x v="5"/>
    <x v="2"/>
  </r>
  <r>
    <s v="TX500830"/>
    <x v="8"/>
    <x v="0"/>
    <n v="21.9"/>
    <n v="21.9"/>
    <x v="34"/>
    <d v="2025-02-07T00:00:00"/>
    <s v="M"/>
    <x v="1"/>
    <x v="2"/>
    <s v="California"/>
    <s v="Nevada County"/>
    <x v="2"/>
    <x v="5"/>
    <x v="1"/>
  </r>
  <r>
    <s v="TX500831"/>
    <x v="4"/>
    <x v="4"/>
    <n v="33.4"/>
    <n v="400.79999999999995"/>
    <x v="34"/>
    <d v="2025-02-06T00:00:00"/>
    <s v="F"/>
    <x v="0"/>
    <x v="0"/>
    <s v="California"/>
    <s v="Riverside County"/>
    <x v="1"/>
    <x v="5"/>
    <x v="2"/>
  </r>
  <r>
    <s v="TX500832"/>
    <x v="2"/>
    <x v="0"/>
    <n v="51.7"/>
    <n v="51.7"/>
    <x v="34"/>
    <d v="2025-02-05T00:00:00"/>
    <s v=""/>
    <x v="0"/>
    <x v="0"/>
    <s v="California"/>
    <s v="Sacramento County"/>
    <x v="3"/>
    <x v="5"/>
    <x v="0"/>
  </r>
  <r>
    <s v="TX500833"/>
    <x v="1"/>
    <x v="12"/>
    <n v="84.9"/>
    <n v="339.6"/>
    <x v="34"/>
    <d v="2025-02-05T00:00:00"/>
    <s v="F"/>
    <x v="1"/>
    <x v="1"/>
    <s v="California"/>
    <s v="Sacramento County"/>
    <x v="3"/>
    <x v="5"/>
    <x v="2"/>
  </r>
  <r>
    <s v="TX500834"/>
    <x v="1"/>
    <x v="5"/>
    <n v="62.3"/>
    <n v="685.3"/>
    <x v="34"/>
    <d v="2025-02-05T00:00:00"/>
    <s v="F"/>
    <x v="2"/>
    <x v="2"/>
    <s v="California"/>
    <s v="San Bernardino County"/>
    <x v="3"/>
    <x v="5"/>
    <x v="2"/>
  </r>
  <r>
    <s v="TX500835"/>
    <x v="4"/>
    <x v="0"/>
    <n v="50.7"/>
    <n v="50.7"/>
    <x v="34"/>
    <d v="2025-02-06T00:00:00"/>
    <s v="M"/>
    <x v="2"/>
    <x v="2"/>
    <s v="California"/>
    <s v="San Diego County"/>
    <x v="1"/>
    <x v="5"/>
    <x v="1"/>
  </r>
  <r>
    <s v="TX500836"/>
    <x v="18"/>
    <x v="0"/>
    <n v="39.5"/>
    <n v="39.5"/>
    <x v="34"/>
    <d v="2025-02-05T00:00:00"/>
    <s v="M"/>
    <x v="4"/>
    <x v="1"/>
    <s v="California"/>
    <s v="San Diego County"/>
    <x v="3"/>
    <x v="5"/>
    <x v="1"/>
  </r>
  <r>
    <s v="TX500837"/>
    <x v="12"/>
    <x v="2"/>
    <n v="30.9"/>
    <n v="92.699999999999989"/>
    <x v="34"/>
    <d v="2025-02-05T00:00:00"/>
    <s v=""/>
    <x v="4"/>
    <x v="2"/>
    <s v="California"/>
    <s v="San Diego County"/>
    <x v="3"/>
    <x v="5"/>
    <x v="0"/>
  </r>
  <r>
    <s v="TX500838"/>
    <x v="1"/>
    <x v="3"/>
    <n v="36.4"/>
    <n v="254.79999999999998"/>
    <x v="34"/>
    <d v="2025-02-07T00:00:00"/>
    <s v="F"/>
    <x v="0"/>
    <x v="2"/>
    <s v="California"/>
    <s v="San Diego County"/>
    <x v="2"/>
    <x v="5"/>
    <x v="2"/>
  </r>
  <r>
    <s v="TX500839"/>
    <x v="6"/>
    <x v="8"/>
    <n v="105.6"/>
    <n v="844.8"/>
    <x v="34"/>
    <d v="2025-02-14T00:00:00"/>
    <s v="F"/>
    <x v="0"/>
    <x v="0"/>
    <s v="California"/>
    <s v="San Diego County"/>
    <x v="14"/>
    <x v="5"/>
    <x v="2"/>
  </r>
  <r>
    <s v="TX500840"/>
    <x v="8"/>
    <x v="1"/>
    <n v="22.1"/>
    <n v="44.2"/>
    <x v="34"/>
    <d v="2025-02-05T00:00:00"/>
    <s v="F"/>
    <x v="0"/>
    <x v="2"/>
    <s v="California"/>
    <s v="San Francisco"/>
    <x v="3"/>
    <x v="5"/>
    <x v="2"/>
  </r>
  <r>
    <s v="TX500841"/>
    <x v="0"/>
    <x v="2"/>
    <n v="22.6"/>
    <n v="67.800000000000011"/>
    <x v="34"/>
    <d v="2025-02-05T00:00:00"/>
    <s v="F"/>
    <x v="2"/>
    <x v="0"/>
    <s v="California"/>
    <s v="San Francisco"/>
    <x v="3"/>
    <x v="5"/>
    <x v="2"/>
  </r>
  <r>
    <s v="TX500842"/>
    <x v="10"/>
    <x v="13"/>
    <n v="26.3"/>
    <n v="157.80000000000001"/>
    <x v="34"/>
    <d v="2025-02-04T00:00:00"/>
    <s v="F"/>
    <x v="2"/>
    <x v="0"/>
    <s v="California"/>
    <s v="San Mateo County"/>
    <x v="7"/>
    <x v="5"/>
    <x v="2"/>
  </r>
  <r>
    <s v="TX500843"/>
    <x v="1"/>
    <x v="12"/>
    <n v="37.799999999999997"/>
    <n v="151.19999999999999"/>
    <x v="34"/>
    <d v="2025-02-05T00:00:00"/>
    <s v="F"/>
    <x v="0"/>
    <x v="2"/>
    <s v="California"/>
    <s v="Santa Clara County"/>
    <x v="3"/>
    <x v="5"/>
    <x v="2"/>
  </r>
  <r>
    <s v="TX500844"/>
    <x v="6"/>
    <x v="14"/>
    <n v="96"/>
    <n v="1632"/>
    <x v="34"/>
    <d v="2025-02-07T00:00:00"/>
    <s v="F"/>
    <x v="4"/>
    <x v="1"/>
    <s v="California"/>
    <s v="Sonoma County"/>
    <x v="2"/>
    <x v="5"/>
    <x v="2"/>
  </r>
  <r>
    <s v="TX500845"/>
    <x v="1"/>
    <x v="0"/>
    <n v="83.6"/>
    <n v="83.6"/>
    <x v="34"/>
    <d v="2025-02-07T00:00:00"/>
    <s v="F"/>
    <x v="2"/>
    <x v="1"/>
    <s v="California"/>
    <s v="Stanislaus County"/>
    <x v="2"/>
    <x v="5"/>
    <x v="2"/>
  </r>
  <r>
    <s v="TX500846"/>
    <x v="2"/>
    <x v="13"/>
    <n v="72.599999999999994"/>
    <n v="435.59999999999997"/>
    <x v="34"/>
    <d v="2025-02-05T00:00:00"/>
    <s v="F"/>
    <x v="0"/>
    <x v="0"/>
    <s v="California"/>
    <s v="Alameda County"/>
    <x v="3"/>
    <x v="5"/>
    <x v="2"/>
  </r>
  <r>
    <s v="TX500847"/>
    <x v="5"/>
    <x v="28"/>
    <n v="69.099999999999994"/>
    <n v="1382"/>
    <x v="35"/>
    <d v="2025-02-11T00:00:00"/>
    <s v="M"/>
    <x v="0"/>
    <x v="2"/>
    <s v="California"/>
    <s v="Alameda County"/>
    <x v="4"/>
    <x v="5"/>
    <x v="1"/>
  </r>
  <r>
    <s v="TX500848"/>
    <x v="4"/>
    <x v="1"/>
    <n v="22.6"/>
    <n v="45.2"/>
    <x v="35"/>
    <d v="2025-02-07T00:00:00"/>
    <s v="F"/>
    <x v="1"/>
    <x v="2"/>
    <s v="California"/>
    <s v="Alameda County"/>
    <x v="1"/>
    <x v="5"/>
    <x v="2"/>
  </r>
  <r>
    <s v="TX500849"/>
    <x v="6"/>
    <x v="1"/>
    <n v="45.3"/>
    <n v="90.6"/>
    <x v="35"/>
    <d v="2025-02-09T00:00:00"/>
    <s v="M"/>
    <x v="4"/>
    <x v="2"/>
    <s v="California"/>
    <s v="Alameda County"/>
    <x v="5"/>
    <x v="5"/>
    <x v="1"/>
  </r>
  <r>
    <s v="TX500850"/>
    <x v="2"/>
    <x v="1"/>
    <n v="115.1"/>
    <n v="230.2"/>
    <x v="35"/>
    <d v="2025-02-06T00:00:00"/>
    <s v="F"/>
    <x v="1"/>
    <x v="0"/>
    <s v="California"/>
    <s v="Contra Costa County"/>
    <x v="3"/>
    <x v="5"/>
    <x v="2"/>
  </r>
  <r>
    <s v="TX500851"/>
    <x v="18"/>
    <x v="12"/>
    <n v="79"/>
    <n v="316"/>
    <x v="35"/>
    <d v="2025-02-07T00:00:00"/>
    <s v="M"/>
    <x v="2"/>
    <x v="4"/>
    <s v="California"/>
    <s v="Contra Costa County"/>
    <x v="1"/>
    <x v="5"/>
    <x v="1"/>
  </r>
  <r>
    <s v="TX500852"/>
    <x v="6"/>
    <x v="9"/>
    <n v="52.8"/>
    <n v="264"/>
    <x v="35"/>
    <d v="2025-02-06T00:00:00"/>
    <s v="F"/>
    <x v="0"/>
    <x v="0"/>
    <s v="California"/>
    <s v="El Dorado County"/>
    <x v="3"/>
    <x v="5"/>
    <x v="2"/>
  </r>
  <r>
    <s v="TX500853"/>
    <x v="8"/>
    <x v="1"/>
    <n v="34.1"/>
    <n v="68.2"/>
    <x v="35"/>
    <d v="2025-02-06T00:00:00"/>
    <s v="M"/>
    <x v="3"/>
    <x v="2"/>
    <s v="California"/>
    <s v="Humboldt County"/>
    <x v="3"/>
    <x v="5"/>
    <x v="1"/>
  </r>
  <r>
    <s v="TX500854"/>
    <x v="6"/>
    <x v="9"/>
    <n v="107.9"/>
    <n v="539.5"/>
    <x v="35"/>
    <d v="2025-02-05T00:00:00"/>
    <s v="F"/>
    <x v="0"/>
    <x v="2"/>
    <s v="California"/>
    <s v="Lake County"/>
    <x v="7"/>
    <x v="5"/>
    <x v="2"/>
  </r>
  <r>
    <s v="TX500855"/>
    <x v="8"/>
    <x v="15"/>
    <n v="48.5"/>
    <n v="630.5"/>
    <x v="35"/>
    <d v="2025-02-05T00:00:00"/>
    <s v="M"/>
    <x v="2"/>
    <x v="2"/>
    <s v="California"/>
    <s v="Los Angeles County"/>
    <x v="7"/>
    <x v="5"/>
    <x v="1"/>
  </r>
  <r>
    <s v="TX500856"/>
    <x v="5"/>
    <x v="2"/>
    <n v="34.700000000000003"/>
    <n v="104.10000000000001"/>
    <x v="35"/>
    <d v="2025-02-06T00:00:00"/>
    <s v=""/>
    <x v="4"/>
    <x v="1"/>
    <s v="California"/>
    <s v="Los Angeles County"/>
    <x v="3"/>
    <x v="5"/>
    <x v="0"/>
  </r>
  <r>
    <s v="TX500857"/>
    <x v="8"/>
    <x v="0"/>
    <n v="16.8"/>
    <n v="16.8"/>
    <x v="35"/>
    <d v="2025-02-07T00:00:00"/>
    <s v="F"/>
    <x v="3"/>
    <x v="0"/>
    <s v="California"/>
    <s v="Los Angeles County"/>
    <x v="1"/>
    <x v="5"/>
    <x v="2"/>
  </r>
  <r>
    <s v="TX500858"/>
    <x v="8"/>
    <x v="13"/>
    <n v="18.3"/>
    <n v="109.80000000000001"/>
    <x v="35"/>
    <d v="2025-02-08T00:00:00"/>
    <s v="F"/>
    <x v="0"/>
    <x v="0"/>
    <s v="California"/>
    <s v="Los Angeles County"/>
    <x v="2"/>
    <x v="5"/>
    <x v="2"/>
  </r>
  <r>
    <s v="TX500859"/>
    <x v="18"/>
    <x v="2"/>
    <n v="55.9"/>
    <n v="167.7"/>
    <x v="35"/>
    <d v="2025-02-11T00:00:00"/>
    <s v="M"/>
    <x v="3"/>
    <x v="1"/>
    <s v="California"/>
    <s v="Los Angeles County"/>
    <x v="4"/>
    <x v="5"/>
    <x v="1"/>
  </r>
  <r>
    <s v="TX500860"/>
    <x v="8"/>
    <x v="2"/>
    <n v="39.200000000000003"/>
    <n v="117.60000000000001"/>
    <x v="35"/>
    <d v="2025-02-07T00:00:00"/>
    <s v="F"/>
    <x v="0"/>
    <x v="1"/>
    <s v="California"/>
    <s v="Los Angeles County"/>
    <x v="1"/>
    <x v="5"/>
    <x v="2"/>
  </r>
  <r>
    <s v="TX500861"/>
    <x v="15"/>
    <x v="12"/>
    <n v="66.5"/>
    <n v="266"/>
    <x v="35"/>
    <d v="2025-02-07T00:00:00"/>
    <s v=""/>
    <x v="3"/>
    <x v="1"/>
    <s v="California"/>
    <s v="Los Angeles County"/>
    <x v="1"/>
    <x v="5"/>
    <x v="0"/>
  </r>
  <r>
    <s v="TX500862"/>
    <x v="6"/>
    <x v="13"/>
    <n v="52.1"/>
    <n v="312.60000000000002"/>
    <x v="35"/>
    <d v="2025-02-07T00:00:00"/>
    <s v="M"/>
    <x v="1"/>
    <x v="1"/>
    <s v="California"/>
    <s v="Napa County"/>
    <x v="1"/>
    <x v="5"/>
    <x v="1"/>
  </r>
  <r>
    <s v="TX500863"/>
    <x v="8"/>
    <x v="1"/>
    <n v="19"/>
    <n v="38"/>
    <x v="35"/>
    <d v="2025-02-06T00:00:00"/>
    <s v="M"/>
    <x v="4"/>
    <x v="2"/>
    <s v="California"/>
    <s v="Sacramento County"/>
    <x v="3"/>
    <x v="5"/>
    <x v="1"/>
  </r>
  <r>
    <s v="TX500864"/>
    <x v="7"/>
    <x v="2"/>
    <n v="84.8"/>
    <n v="254.39999999999998"/>
    <x v="35"/>
    <d v="2025-02-07T00:00:00"/>
    <s v="F"/>
    <x v="2"/>
    <x v="0"/>
    <s v="California"/>
    <s v="San Diego County"/>
    <x v="1"/>
    <x v="5"/>
    <x v="2"/>
  </r>
  <r>
    <s v="TX500865"/>
    <x v="2"/>
    <x v="12"/>
    <n v="63.9"/>
    <n v="255.6"/>
    <x v="35"/>
    <d v="2025-02-08T00:00:00"/>
    <s v="F"/>
    <x v="0"/>
    <x v="0"/>
    <s v="California"/>
    <s v="San Diego County"/>
    <x v="2"/>
    <x v="5"/>
    <x v="2"/>
  </r>
  <r>
    <s v="TX500866"/>
    <x v="2"/>
    <x v="2"/>
    <n v="65.5"/>
    <n v="196.5"/>
    <x v="35"/>
    <d v="2025-02-05T00:00:00"/>
    <s v="F"/>
    <x v="1"/>
    <x v="1"/>
    <s v="California"/>
    <s v="San Diego County"/>
    <x v="7"/>
    <x v="5"/>
    <x v="2"/>
  </r>
  <r>
    <s v="TX500867"/>
    <x v="12"/>
    <x v="1"/>
    <n v="116.2"/>
    <n v="232.4"/>
    <x v="35"/>
    <d v="2025-02-11T00:00:00"/>
    <s v="M"/>
    <x v="3"/>
    <x v="0"/>
    <s v="California"/>
    <s v="San Francisco"/>
    <x v="4"/>
    <x v="5"/>
    <x v="1"/>
  </r>
  <r>
    <s v="TX500868"/>
    <x v="10"/>
    <x v="12"/>
    <n v="22.9"/>
    <n v="91.6"/>
    <x v="35"/>
    <d v="2025-02-07T00:00:00"/>
    <s v="F"/>
    <x v="2"/>
    <x v="1"/>
    <s v="California"/>
    <s v="Solano County"/>
    <x v="1"/>
    <x v="5"/>
    <x v="2"/>
  </r>
  <r>
    <s v="TX500869"/>
    <x v="10"/>
    <x v="2"/>
    <n v="53.7"/>
    <n v="161.10000000000002"/>
    <x v="35"/>
    <d v="2025-02-06T00:00:00"/>
    <s v="M"/>
    <x v="0"/>
    <x v="4"/>
    <s v="California"/>
    <s v="Sonoma County"/>
    <x v="3"/>
    <x v="5"/>
    <x v="1"/>
  </r>
  <r>
    <s v="TX500870"/>
    <x v="6"/>
    <x v="9"/>
    <n v="43.2"/>
    <n v="216"/>
    <x v="35"/>
    <d v="2025-02-07T00:00:00"/>
    <s v="F"/>
    <x v="0"/>
    <x v="0"/>
    <s v="California"/>
    <s v="Stanislaus County"/>
    <x v="1"/>
    <x v="5"/>
    <x v="2"/>
  </r>
  <r>
    <s v="TX500871"/>
    <x v="1"/>
    <x v="2"/>
    <n v="84.5"/>
    <n v="253.5"/>
    <x v="35"/>
    <d v="2025-02-07T00:00:00"/>
    <s v="M"/>
    <x v="2"/>
    <x v="2"/>
    <s v="California"/>
    <s v="Butte County"/>
    <x v="1"/>
    <x v="5"/>
    <x v="1"/>
  </r>
  <r>
    <s v="TX500872"/>
    <x v="3"/>
    <x v="1"/>
    <n v="42.2"/>
    <n v="84.4"/>
    <x v="35"/>
    <d v="2025-02-06T00:00:00"/>
    <s v="F"/>
    <x v="1"/>
    <x v="2"/>
    <s v="California"/>
    <s v="Contra Costa County"/>
    <x v="3"/>
    <x v="5"/>
    <x v="2"/>
  </r>
  <r>
    <s v="TX500873"/>
    <x v="2"/>
    <x v="13"/>
    <n v="94.7"/>
    <n v="568.20000000000005"/>
    <x v="35"/>
    <d v="2025-02-08T00:00:00"/>
    <s v="F"/>
    <x v="1"/>
    <x v="2"/>
    <s v="California"/>
    <s v="Fresno County"/>
    <x v="2"/>
    <x v="5"/>
    <x v="2"/>
  </r>
  <r>
    <s v="TX500874"/>
    <x v="8"/>
    <x v="16"/>
    <n v="16.7"/>
    <n v="300.59999999999997"/>
    <x v="35"/>
    <d v="2025-02-17T00:00:00"/>
    <s v="F"/>
    <x v="0"/>
    <x v="2"/>
    <s v="California"/>
    <s v="Fresno County"/>
    <x v="13"/>
    <x v="5"/>
    <x v="2"/>
  </r>
  <r>
    <s v="TX500875"/>
    <x v="2"/>
    <x v="1"/>
    <n v="83.6"/>
    <n v="167.2"/>
    <x v="35"/>
    <d v="2025-02-11T00:00:00"/>
    <s v="F"/>
    <x v="1"/>
    <x v="0"/>
    <s v="California"/>
    <s v="Los Angeles County"/>
    <x v="4"/>
    <x v="5"/>
    <x v="2"/>
  </r>
  <r>
    <s v="TX500876"/>
    <x v="7"/>
    <x v="13"/>
    <n v="33.6"/>
    <n v="201.60000000000002"/>
    <x v="36"/>
    <d v="2025-02-07T00:00:00"/>
    <s v="F"/>
    <x v="3"/>
    <x v="0"/>
    <s v="California"/>
    <s v="Los Angeles County"/>
    <x v="3"/>
    <x v="5"/>
    <x v="2"/>
  </r>
  <r>
    <s v="TX500877"/>
    <x v="7"/>
    <x v="1"/>
    <n v="64.7"/>
    <n v="129.4"/>
    <x v="36"/>
    <d v="2025-02-08T00:00:00"/>
    <s v="M"/>
    <x v="1"/>
    <x v="2"/>
    <s v="California"/>
    <s v="Los Angeles County"/>
    <x v="1"/>
    <x v="5"/>
    <x v="1"/>
  </r>
  <r>
    <s v="TX500878"/>
    <x v="0"/>
    <x v="2"/>
    <n v="15.7"/>
    <n v="47.099999999999994"/>
    <x v="36"/>
    <d v="2025-02-12T00:00:00"/>
    <s v="F"/>
    <x v="0"/>
    <x v="0"/>
    <s v="California"/>
    <s v="Los Angeles County"/>
    <x v="4"/>
    <x v="5"/>
    <x v="2"/>
  </r>
  <r>
    <s v="TX500879"/>
    <x v="15"/>
    <x v="13"/>
    <n v="49.4"/>
    <n v="296.39999999999998"/>
    <x v="36"/>
    <d v="2025-02-06T00:00:00"/>
    <s v="M"/>
    <x v="1"/>
    <x v="0"/>
    <s v="California"/>
    <s v="Los Angeles County"/>
    <x v="7"/>
    <x v="5"/>
    <x v="1"/>
  </r>
  <r>
    <s v="TX500880"/>
    <x v="10"/>
    <x v="13"/>
    <n v="37"/>
    <n v="222"/>
    <x v="36"/>
    <d v="2025-02-09T00:00:00"/>
    <s v="F"/>
    <x v="1"/>
    <x v="2"/>
    <s v="California"/>
    <s v="Los Angeles County"/>
    <x v="2"/>
    <x v="5"/>
    <x v="2"/>
  </r>
  <r>
    <s v="TX500881"/>
    <x v="2"/>
    <x v="1"/>
    <n v="83.7"/>
    <n v="167.4"/>
    <x v="36"/>
    <d v="2025-02-08T00:00:00"/>
    <s v="F"/>
    <x v="3"/>
    <x v="2"/>
    <s v="California"/>
    <s v="Los Angeles County"/>
    <x v="1"/>
    <x v="5"/>
    <x v="2"/>
  </r>
  <r>
    <s v="TX500882"/>
    <x v="1"/>
    <x v="9"/>
    <n v="35.1"/>
    <n v="175.5"/>
    <x v="36"/>
    <d v="2025-02-07T00:00:00"/>
    <s v="F"/>
    <x v="0"/>
    <x v="0"/>
    <s v="California"/>
    <s v="Los Angeles County"/>
    <x v="3"/>
    <x v="5"/>
    <x v="2"/>
  </r>
  <r>
    <s v="TX500883"/>
    <x v="16"/>
    <x v="8"/>
    <n v="74"/>
    <n v="592"/>
    <x v="36"/>
    <d v="2025-02-07T00:00:00"/>
    <s v="F"/>
    <x v="4"/>
    <x v="0"/>
    <s v="California"/>
    <s v="Madera County"/>
    <x v="3"/>
    <x v="5"/>
    <x v="2"/>
  </r>
  <r>
    <s v="TX500884"/>
    <x v="6"/>
    <x v="25"/>
    <n v="55.5"/>
    <n v="1332"/>
    <x v="36"/>
    <d v="2025-02-09T00:00:00"/>
    <s v="M"/>
    <x v="3"/>
    <x v="0"/>
    <s v="California"/>
    <s v="Monterey County"/>
    <x v="2"/>
    <x v="5"/>
    <x v="1"/>
  </r>
  <r>
    <s v="TX500885"/>
    <x v="11"/>
    <x v="1"/>
    <n v="38.9"/>
    <n v="77.8"/>
    <x v="36"/>
    <d v="2025-02-08T00:00:00"/>
    <s v="F"/>
    <x v="1"/>
    <x v="2"/>
    <s v="California"/>
    <s v="Orange County"/>
    <x v="1"/>
    <x v="5"/>
    <x v="2"/>
  </r>
  <r>
    <s v="TX500886"/>
    <x v="16"/>
    <x v="1"/>
    <n v="64.599999999999994"/>
    <n v="129.19999999999999"/>
    <x v="36"/>
    <d v="2025-02-13T00:00:00"/>
    <s v="M"/>
    <x v="2"/>
    <x v="1"/>
    <s v="California"/>
    <s v="Orange County"/>
    <x v="6"/>
    <x v="5"/>
    <x v="1"/>
  </r>
  <r>
    <s v="TX500887"/>
    <x v="2"/>
    <x v="2"/>
    <n v="95.3"/>
    <n v="285.89999999999998"/>
    <x v="36"/>
    <d v="2025-02-07T00:00:00"/>
    <s v="M"/>
    <x v="0"/>
    <x v="0"/>
    <s v="California"/>
    <s v="Placer County"/>
    <x v="3"/>
    <x v="5"/>
    <x v="1"/>
  </r>
  <r>
    <s v="TX500888"/>
    <x v="13"/>
    <x v="2"/>
    <n v="25.8"/>
    <n v="77.400000000000006"/>
    <x v="36"/>
    <d v="2025-02-07T00:00:00"/>
    <s v="F"/>
    <x v="1"/>
    <x v="1"/>
    <s v="California"/>
    <s v="Sacramento County"/>
    <x v="3"/>
    <x v="5"/>
    <x v="2"/>
  </r>
  <r>
    <s v="TX500889"/>
    <x v="0"/>
    <x v="1"/>
    <n v="11.6"/>
    <n v="23.2"/>
    <x v="36"/>
    <d v="2025-02-10T00:00:00"/>
    <s v="F"/>
    <x v="1"/>
    <x v="1"/>
    <s v="California"/>
    <s v="Sacramento County"/>
    <x v="5"/>
    <x v="5"/>
    <x v="2"/>
  </r>
  <r>
    <s v="TX500890"/>
    <x v="7"/>
    <x v="0"/>
    <n v="52.3"/>
    <n v="52.3"/>
    <x v="36"/>
    <d v="2025-02-07T00:00:00"/>
    <s v="F"/>
    <x v="1"/>
    <x v="0"/>
    <s v="California"/>
    <s v="San Diego County"/>
    <x v="3"/>
    <x v="5"/>
    <x v="2"/>
  </r>
  <r>
    <s v="TX500891"/>
    <x v="2"/>
    <x v="7"/>
    <n v="112.2"/>
    <n v="1122"/>
    <x v="36"/>
    <d v="2025-02-07T00:00:00"/>
    <s v="F"/>
    <x v="1"/>
    <x v="1"/>
    <s v="California"/>
    <s v="San Diego County"/>
    <x v="3"/>
    <x v="5"/>
    <x v="2"/>
  </r>
  <r>
    <s v="TX500892"/>
    <x v="4"/>
    <x v="9"/>
    <n v="34.6"/>
    <n v="173"/>
    <x v="36"/>
    <d v="2025-02-08T00:00:00"/>
    <s v="M"/>
    <x v="2"/>
    <x v="0"/>
    <s v="California"/>
    <s v="San Diego County"/>
    <x v="1"/>
    <x v="5"/>
    <x v="1"/>
  </r>
  <r>
    <s v="TX500893"/>
    <x v="14"/>
    <x v="12"/>
    <n v="20.100000000000001"/>
    <n v="80.400000000000006"/>
    <x v="36"/>
    <d v="2025-02-12T00:00:00"/>
    <s v="M"/>
    <x v="1"/>
    <x v="2"/>
    <s v="California"/>
    <s v="San Diego County"/>
    <x v="4"/>
    <x v="5"/>
    <x v="1"/>
  </r>
  <r>
    <s v="TX500894"/>
    <x v="2"/>
    <x v="12"/>
    <n v="56.4"/>
    <n v="225.6"/>
    <x v="36"/>
    <d v="2025-02-08T00:00:00"/>
    <s v="F"/>
    <x v="2"/>
    <x v="0"/>
    <s v="California"/>
    <s v="Santa Barbara County"/>
    <x v="1"/>
    <x v="5"/>
    <x v="2"/>
  </r>
  <r>
    <s v="TX500895"/>
    <x v="13"/>
    <x v="11"/>
    <n v="55.3"/>
    <n v="497.7"/>
    <x v="36"/>
    <d v="2025-02-08T00:00:00"/>
    <s v="F"/>
    <x v="1"/>
    <x v="4"/>
    <s v="California"/>
    <s v="Santa Clara County"/>
    <x v="1"/>
    <x v="5"/>
    <x v="2"/>
  </r>
  <r>
    <s v="TX500896"/>
    <x v="2"/>
    <x v="31"/>
    <n v="75.5"/>
    <n v="2114"/>
    <x v="36"/>
    <d v="2025-02-07T00:00:00"/>
    <s v="F"/>
    <x v="0"/>
    <x v="0"/>
    <s v="California"/>
    <s v="Santa Clara County"/>
    <x v="3"/>
    <x v="5"/>
    <x v="2"/>
  </r>
  <r>
    <s v="TX500897"/>
    <x v="8"/>
    <x v="0"/>
    <n v="23.6"/>
    <n v="23.6"/>
    <x v="36"/>
    <d v="2025-02-11T00:00:00"/>
    <s v="F"/>
    <x v="0"/>
    <x v="0"/>
    <s v="California"/>
    <s v="Stanislaus County"/>
    <x v="0"/>
    <x v="5"/>
    <x v="2"/>
  </r>
  <r>
    <s v="TX500898"/>
    <x v="9"/>
    <x v="1"/>
    <n v="70.7"/>
    <n v="141.4"/>
    <x v="36"/>
    <d v="2025-02-08T00:00:00"/>
    <s v="F"/>
    <x v="2"/>
    <x v="0"/>
    <s v="California"/>
    <s v="Stanislaus County"/>
    <x v="1"/>
    <x v="5"/>
    <x v="2"/>
  </r>
  <r>
    <s v="TX500899"/>
    <x v="12"/>
    <x v="1"/>
    <n v="43.2"/>
    <n v="86.4"/>
    <x v="36"/>
    <d v="2025-02-07T00:00:00"/>
    <s v="F"/>
    <x v="2"/>
    <x v="0"/>
    <s v="California"/>
    <s v="Sutter County"/>
    <x v="3"/>
    <x v="5"/>
    <x v="2"/>
  </r>
  <r>
    <s v="TX500900"/>
    <x v="9"/>
    <x v="11"/>
    <n v="70"/>
    <n v="630"/>
    <x v="36"/>
    <d v="2025-02-07T00:00:00"/>
    <s v=""/>
    <x v="1"/>
    <x v="0"/>
    <s v="California"/>
    <s v="Tuolumne County"/>
    <x v="3"/>
    <x v="5"/>
    <x v="0"/>
  </r>
  <r>
    <s v="TX500901"/>
    <x v="0"/>
    <x v="1"/>
    <n v="20.5"/>
    <n v="41"/>
    <x v="36"/>
    <d v="2025-02-08T00:00:00"/>
    <s v="F"/>
    <x v="2"/>
    <x v="4"/>
    <s v="California"/>
    <s v="Ventura County"/>
    <x v="1"/>
    <x v="5"/>
    <x v="2"/>
  </r>
  <r>
    <s v="TX500902"/>
    <x v="0"/>
    <x v="12"/>
    <n v="29.1"/>
    <n v="116.4"/>
    <x v="36"/>
    <d v="2025-02-07T00:00:00"/>
    <s v="F"/>
    <x v="3"/>
    <x v="0"/>
    <s v="California"/>
    <s v="Yolo County"/>
    <x v="3"/>
    <x v="5"/>
    <x v="2"/>
  </r>
  <r>
    <s v="TX500903"/>
    <x v="6"/>
    <x v="11"/>
    <n v="53.6"/>
    <n v="482.40000000000003"/>
    <x v="36"/>
    <d v="2025-02-07T00:00:00"/>
    <s v="M"/>
    <x v="2"/>
    <x v="1"/>
    <s v="California"/>
    <s v="Los Angeles County"/>
    <x v="3"/>
    <x v="5"/>
    <x v="1"/>
  </r>
  <r>
    <s v="TX500904"/>
    <x v="6"/>
    <x v="9"/>
    <n v="72.3"/>
    <n v="361.5"/>
    <x v="36"/>
    <d v="2025-02-08T00:00:00"/>
    <s v="F"/>
    <x v="1"/>
    <x v="0"/>
    <s v="California"/>
    <s v="Los Angeles County"/>
    <x v="1"/>
    <x v="5"/>
    <x v="2"/>
  </r>
  <r>
    <s v="TX500905"/>
    <x v="13"/>
    <x v="12"/>
    <n v="22.6"/>
    <n v="90.4"/>
    <x v="36"/>
    <d v="2025-02-09T00:00:00"/>
    <s v="O"/>
    <x v="0"/>
    <x v="1"/>
    <s v="California"/>
    <s v="Los Angeles County"/>
    <x v="2"/>
    <x v="5"/>
    <x v="3"/>
  </r>
  <r>
    <s v="TX500906"/>
    <x v="9"/>
    <x v="1"/>
    <n v="44.2"/>
    <n v="88.4"/>
    <x v="36"/>
    <d v="2025-02-10T00:00:00"/>
    <s v=""/>
    <x v="2"/>
    <x v="4"/>
    <s v="California"/>
    <s v="Los Angeles County"/>
    <x v="5"/>
    <x v="5"/>
    <x v="0"/>
  </r>
  <r>
    <s v="TX500907"/>
    <x v="9"/>
    <x v="2"/>
    <n v="94.1"/>
    <n v="282.29999999999995"/>
    <x v="36"/>
    <d v="2025-02-19T00:00:00"/>
    <s v="F"/>
    <x v="2"/>
    <x v="2"/>
    <s v="California"/>
    <s v="Los Angeles County"/>
    <x v="10"/>
    <x v="5"/>
    <x v="2"/>
  </r>
  <r>
    <s v="TX500908"/>
    <x v="8"/>
    <x v="2"/>
    <n v="17.899999999999999"/>
    <n v="53.699999999999996"/>
    <x v="36"/>
    <d v="2025-02-08T00:00:00"/>
    <s v="M"/>
    <x v="1"/>
    <x v="1"/>
    <s v="California"/>
    <s v="Los Angeles County"/>
    <x v="1"/>
    <x v="5"/>
    <x v="1"/>
  </r>
  <r>
    <s v="TX500909"/>
    <x v="12"/>
    <x v="3"/>
    <n v="52.7"/>
    <n v="368.90000000000003"/>
    <x v="36"/>
    <d v="2025-02-07T00:00:00"/>
    <s v="M"/>
    <x v="1"/>
    <x v="1"/>
    <s v="California"/>
    <s v="Los Angeles County"/>
    <x v="3"/>
    <x v="5"/>
    <x v="1"/>
  </r>
  <r>
    <s v="TX500910"/>
    <x v="8"/>
    <x v="0"/>
    <n v="36.799999999999997"/>
    <n v="36.799999999999997"/>
    <x v="36"/>
    <d v="2025-02-06T00:00:00"/>
    <s v=""/>
    <x v="0"/>
    <x v="2"/>
    <s v="California"/>
    <s v="Los Angeles County"/>
    <x v="7"/>
    <x v="5"/>
    <x v="0"/>
  </r>
  <r>
    <s v="TX500911"/>
    <x v="4"/>
    <x v="0"/>
    <n v="52.5"/>
    <n v="52.5"/>
    <x v="36"/>
    <d v="2025-02-07T00:00:00"/>
    <s v="M"/>
    <x v="0"/>
    <x v="1"/>
    <s v="California"/>
    <s v="Sacramento County"/>
    <x v="3"/>
    <x v="5"/>
    <x v="1"/>
  </r>
  <r>
    <s v="TX500912"/>
    <x v="2"/>
    <x v="1"/>
    <n v="133.80000000000001"/>
    <n v="267.60000000000002"/>
    <x v="36"/>
    <d v="2025-02-08T00:00:00"/>
    <s v="M"/>
    <x v="0"/>
    <x v="1"/>
    <s v="California"/>
    <s v="San Bernardino County"/>
    <x v="1"/>
    <x v="5"/>
    <x v="1"/>
  </r>
  <r>
    <s v="TX500913"/>
    <x v="6"/>
    <x v="1"/>
    <n v="53.2"/>
    <n v="106.4"/>
    <x v="36"/>
    <d v="2025-02-08T00:00:00"/>
    <s v="M"/>
    <x v="0"/>
    <x v="0"/>
    <s v="California"/>
    <s v="San Francisco"/>
    <x v="1"/>
    <x v="5"/>
    <x v="1"/>
  </r>
  <r>
    <s v="TX500914"/>
    <x v="14"/>
    <x v="13"/>
    <n v="18.7"/>
    <n v="112.19999999999999"/>
    <x v="36"/>
    <d v="2025-02-08T00:00:00"/>
    <s v=""/>
    <x v="0"/>
    <x v="1"/>
    <s v="California"/>
    <s v="Santa Barbara County"/>
    <x v="1"/>
    <x v="5"/>
    <x v="0"/>
  </r>
  <r>
    <s v="TX500915"/>
    <x v="6"/>
    <x v="12"/>
    <n v="108.8"/>
    <n v="435.2"/>
    <x v="36"/>
    <d v="2025-02-07T00:00:00"/>
    <s v="F"/>
    <x v="3"/>
    <x v="2"/>
    <s v="California"/>
    <s v="Santa Clara County"/>
    <x v="3"/>
    <x v="5"/>
    <x v="2"/>
  </r>
  <r>
    <s v="TX500916"/>
    <x v="15"/>
    <x v="9"/>
    <n v="38.5"/>
    <n v="192.5"/>
    <x v="36"/>
    <d v="2025-02-10T00:00:00"/>
    <s v="F"/>
    <x v="0"/>
    <x v="1"/>
    <s v="California"/>
    <s v="Calaveras County"/>
    <x v="5"/>
    <x v="5"/>
    <x v="2"/>
  </r>
  <r>
    <s v="TX500917"/>
    <x v="10"/>
    <x v="7"/>
    <n v="46.5"/>
    <n v="465"/>
    <x v="36"/>
    <d v="2025-02-08T00:00:00"/>
    <s v="M"/>
    <x v="2"/>
    <x v="1"/>
    <s v="California"/>
    <s v="Fresno County"/>
    <x v="1"/>
    <x v="5"/>
    <x v="1"/>
  </r>
  <r>
    <s v="TX500918"/>
    <x v="2"/>
    <x v="2"/>
    <n v="75.8"/>
    <n v="227.39999999999998"/>
    <x v="36"/>
    <d v="2025-02-10T00:00:00"/>
    <s v="F"/>
    <x v="1"/>
    <x v="4"/>
    <s v="California"/>
    <s v="Humboldt County"/>
    <x v="5"/>
    <x v="5"/>
    <x v="2"/>
  </r>
  <r>
    <s v="TX500919"/>
    <x v="8"/>
    <x v="0"/>
    <n v="20.9"/>
    <n v="20.9"/>
    <x v="36"/>
    <d v="2025-02-10T00:00:00"/>
    <s v="M"/>
    <x v="0"/>
    <x v="0"/>
    <s v="California"/>
    <s v="Kern County"/>
    <x v="5"/>
    <x v="5"/>
    <x v="1"/>
  </r>
  <r>
    <s v="TX500920"/>
    <x v="18"/>
    <x v="2"/>
    <n v="47.4"/>
    <n v="142.19999999999999"/>
    <x v="36"/>
    <d v="2025-02-09T00:00:00"/>
    <s v="F"/>
    <x v="0"/>
    <x v="0"/>
    <s v="California"/>
    <s v="Los Angeles County"/>
    <x v="2"/>
    <x v="5"/>
    <x v="2"/>
  </r>
  <r>
    <s v="TX500921"/>
    <x v="9"/>
    <x v="1"/>
    <n v="53.8"/>
    <n v="107.6"/>
    <x v="36"/>
    <d v="2025-02-07T00:00:00"/>
    <s v=""/>
    <x v="0"/>
    <x v="1"/>
    <s v="California"/>
    <s v="Los Angeles County"/>
    <x v="3"/>
    <x v="5"/>
    <x v="0"/>
  </r>
  <r>
    <s v="TX500922"/>
    <x v="8"/>
    <x v="2"/>
    <n v="24.6"/>
    <n v="73.800000000000011"/>
    <x v="36"/>
    <d v="2025-02-08T00:00:00"/>
    <s v="O"/>
    <x v="1"/>
    <x v="2"/>
    <s v="California"/>
    <s v="Los Angeles County"/>
    <x v="1"/>
    <x v="5"/>
    <x v="3"/>
  </r>
  <r>
    <s v="TX500923"/>
    <x v="9"/>
    <x v="2"/>
    <n v="70.900000000000006"/>
    <n v="212.70000000000002"/>
    <x v="36"/>
    <d v="2025-02-11T00:00:00"/>
    <s v="F"/>
    <x v="2"/>
    <x v="2"/>
    <s v="California"/>
    <s v="Los Angeles County"/>
    <x v="0"/>
    <x v="5"/>
    <x v="2"/>
  </r>
  <r>
    <s v="TX500924"/>
    <x v="17"/>
    <x v="2"/>
    <n v="31.9"/>
    <n v="95.699999999999989"/>
    <x v="36"/>
    <d v="2025-02-08T00:00:00"/>
    <s v="F"/>
    <x v="2"/>
    <x v="2"/>
    <s v="California"/>
    <s v="Los Angeles County"/>
    <x v="1"/>
    <x v="5"/>
    <x v="2"/>
  </r>
  <r>
    <s v="TX500925"/>
    <x v="0"/>
    <x v="1"/>
    <n v="20.399999999999999"/>
    <n v="40.799999999999997"/>
    <x v="36"/>
    <d v="2025-02-10T00:00:00"/>
    <s v="M"/>
    <x v="3"/>
    <x v="2"/>
    <s v="California"/>
    <s v="Los Angeles County"/>
    <x v="5"/>
    <x v="5"/>
    <x v="1"/>
  </r>
  <r>
    <s v="TX500926"/>
    <x v="8"/>
    <x v="1"/>
    <n v="18.600000000000001"/>
    <n v="37.200000000000003"/>
    <x v="36"/>
    <d v="2025-02-08T00:00:00"/>
    <s v=""/>
    <x v="0"/>
    <x v="1"/>
    <s v="California"/>
    <s v="Los Angeles County"/>
    <x v="1"/>
    <x v="5"/>
    <x v="0"/>
  </r>
  <r>
    <s v="TX500927"/>
    <x v="4"/>
    <x v="9"/>
    <n v="48.3"/>
    <n v="241.5"/>
    <x v="36"/>
    <d v="2025-02-08T00:00:00"/>
    <s v="F"/>
    <x v="1"/>
    <x v="0"/>
    <s v="California"/>
    <s v="Los Angeles County"/>
    <x v="1"/>
    <x v="5"/>
    <x v="2"/>
  </r>
  <r>
    <s v="TX500928"/>
    <x v="0"/>
    <x v="12"/>
    <n v="27.7"/>
    <n v="110.8"/>
    <x v="36"/>
    <d v="2025-02-08T00:00:00"/>
    <s v="F"/>
    <x v="0"/>
    <x v="0"/>
    <s v="California"/>
    <s v="Los Angeles County"/>
    <x v="1"/>
    <x v="5"/>
    <x v="2"/>
  </r>
  <r>
    <s v="TX500929"/>
    <x v="4"/>
    <x v="9"/>
    <n v="22.5"/>
    <n v="112.5"/>
    <x v="36"/>
    <d v="2025-02-08T00:00:00"/>
    <s v="F"/>
    <x v="4"/>
    <x v="2"/>
    <s v="California"/>
    <s v="Los Angeles County"/>
    <x v="1"/>
    <x v="5"/>
    <x v="2"/>
  </r>
  <r>
    <s v="TX500930"/>
    <x v="17"/>
    <x v="9"/>
    <n v="21.6"/>
    <n v="108"/>
    <x v="36"/>
    <d v="2025-02-14T00:00:00"/>
    <s v="F"/>
    <x v="0"/>
    <x v="1"/>
    <s v="California"/>
    <s v="Los Angeles County"/>
    <x v="9"/>
    <x v="5"/>
    <x v="2"/>
  </r>
  <r>
    <s v="TX500931"/>
    <x v="10"/>
    <x v="3"/>
    <n v="26.3"/>
    <n v="184.1"/>
    <x v="36"/>
    <d v="2025-02-06T00:00:00"/>
    <s v="F"/>
    <x v="2"/>
    <x v="1"/>
    <s v="California"/>
    <s v="Los Angeles County"/>
    <x v="7"/>
    <x v="5"/>
    <x v="2"/>
  </r>
  <r>
    <s v="TX500932"/>
    <x v="6"/>
    <x v="3"/>
    <n v="103"/>
    <n v="721"/>
    <x v="37"/>
    <d v="2025-02-08T00:00:00"/>
    <s v="M"/>
    <x v="0"/>
    <x v="2"/>
    <s v="California"/>
    <s v="Sacramento County"/>
    <x v="3"/>
    <x v="5"/>
    <x v="1"/>
  </r>
  <r>
    <s v="TX500933"/>
    <x v="5"/>
    <x v="20"/>
    <n v="46.6"/>
    <n v="699"/>
    <x v="37"/>
    <d v="2025-02-08T00:00:00"/>
    <s v="F"/>
    <x v="0"/>
    <x v="1"/>
    <s v="California"/>
    <s v="Sacramento County"/>
    <x v="3"/>
    <x v="5"/>
    <x v="2"/>
  </r>
  <r>
    <s v="TX500934"/>
    <x v="0"/>
    <x v="9"/>
    <n v="32.200000000000003"/>
    <n v="161"/>
    <x v="37"/>
    <d v="2025-02-10T00:00:00"/>
    <s v="F"/>
    <x v="0"/>
    <x v="2"/>
    <s v="California"/>
    <s v="San Benito County"/>
    <x v="2"/>
    <x v="5"/>
    <x v="2"/>
  </r>
  <r>
    <s v="TX500935"/>
    <x v="8"/>
    <x v="2"/>
    <n v="22"/>
    <n v="66"/>
    <x v="37"/>
    <d v="2025-02-14T00:00:00"/>
    <s v="M"/>
    <x v="1"/>
    <x v="0"/>
    <s v="California"/>
    <s v="San Bernardino County"/>
    <x v="6"/>
    <x v="5"/>
    <x v="1"/>
  </r>
  <r>
    <s v="TX500936"/>
    <x v="0"/>
    <x v="1"/>
    <n v="25.2"/>
    <n v="50.4"/>
    <x v="37"/>
    <d v="2025-02-11T00:00:00"/>
    <s v="F"/>
    <x v="0"/>
    <x v="0"/>
    <s v="California"/>
    <s v="San Bernardino County"/>
    <x v="5"/>
    <x v="5"/>
    <x v="2"/>
  </r>
  <r>
    <s v="TX500937"/>
    <x v="1"/>
    <x v="13"/>
    <n v="68.7"/>
    <n v="412.20000000000005"/>
    <x v="37"/>
    <d v="2025-02-09T00:00:00"/>
    <s v="M"/>
    <x v="4"/>
    <x v="0"/>
    <s v="California"/>
    <s v="San Diego County"/>
    <x v="1"/>
    <x v="5"/>
    <x v="1"/>
  </r>
  <r>
    <s v="TX500938"/>
    <x v="0"/>
    <x v="2"/>
    <n v="22.2"/>
    <n v="66.599999999999994"/>
    <x v="37"/>
    <d v="2025-02-10T00:00:00"/>
    <s v="M"/>
    <x v="2"/>
    <x v="2"/>
    <s v="California"/>
    <s v="San Diego County"/>
    <x v="2"/>
    <x v="5"/>
    <x v="1"/>
  </r>
  <r>
    <s v="TX500939"/>
    <x v="1"/>
    <x v="3"/>
    <n v="36"/>
    <n v="252"/>
    <x v="37"/>
    <d v="2025-02-08T00:00:00"/>
    <s v="F"/>
    <x v="1"/>
    <x v="0"/>
    <s v="California"/>
    <s v="San Diego County"/>
    <x v="3"/>
    <x v="5"/>
    <x v="2"/>
  </r>
  <r>
    <s v="TX500940"/>
    <x v="18"/>
    <x v="0"/>
    <n v="50.6"/>
    <n v="50.6"/>
    <x v="37"/>
    <d v="2025-02-09T00:00:00"/>
    <s v="F"/>
    <x v="0"/>
    <x v="1"/>
    <s v="California"/>
    <s v="San Diego County"/>
    <x v="1"/>
    <x v="5"/>
    <x v="2"/>
  </r>
  <r>
    <s v="TX500941"/>
    <x v="15"/>
    <x v="1"/>
    <n v="44.9"/>
    <n v="89.8"/>
    <x v="37"/>
    <d v="2025-02-09T00:00:00"/>
    <s v="M"/>
    <x v="0"/>
    <x v="1"/>
    <s v="California"/>
    <s v="San Diego County"/>
    <x v="1"/>
    <x v="5"/>
    <x v="1"/>
  </r>
  <r>
    <s v="TX500942"/>
    <x v="6"/>
    <x v="2"/>
    <n v="71.599999999999994"/>
    <n v="214.79999999999998"/>
    <x v="37"/>
    <d v="2025-02-11T00:00:00"/>
    <s v="M"/>
    <x v="1"/>
    <x v="2"/>
    <s v="California"/>
    <s v="Santa Barbara County"/>
    <x v="5"/>
    <x v="5"/>
    <x v="1"/>
  </r>
  <r>
    <s v="TX500943"/>
    <x v="6"/>
    <x v="13"/>
    <n v="51.5"/>
    <n v="309"/>
    <x v="37"/>
    <d v="2025-02-09T00:00:00"/>
    <s v=""/>
    <x v="4"/>
    <x v="0"/>
    <s v="California"/>
    <s v="Santa Clara County"/>
    <x v="1"/>
    <x v="5"/>
    <x v="0"/>
  </r>
  <r>
    <s v="TX500944"/>
    <x v="7"/>
    <x v="9"/>
    <n v="55.5"/>
    <n v="277.5"/>
    <x v="37"/>
    <d v="2025-02-08T00:00:00"/>
    <s v="M"/>
    <x v="1"/>
    <x v="1"/>
    <s v="California"/>
    <s v="Santa Clara County"/>
    <x v="3"/>
    <x v="5"/>
    <x v="1"/>
  </r>
  <r>
    <s v="TX500945"/>
    <x v="6"/>
    <x v="0"/>
    <n v="51.7"/>
    <n v="51.7"/>
    <x v="37"/>
    <d v="2025-02-21T00:00:00"/>
    <s v="M"/>
    <x v="2"/>
    <x v="0"/>
    <s v="California"/>
    <s v="Stanislaus County"/>
    <x v="12"/>
    <x v="5"/>
    <x v="1"/>
  </r>
  <r>
    <s v="TX500946"/>
    <x v="8"/>
    <x v="38"/>
    <n v="45.5"/>
    <n v="955.5"/>
    <x v="37"/>
    <d v="2025-02-08T00:00:00"/>
    <s v="F"/>
    <x v="3"/>
    <x v="2"/>
    <s v="California"/>
    <s v="Stanislaus County"/>
    <x v="3"/>
    <x v="5"/>
    <x v="2"/>
  </r>
  <r>
    <s v="TX500947"/>
    <x v="8"/>
    <x v="1"/>
    <n v="33.799999999999997"/>
    <n v="67.599999999999994"/>
    <x v="37"/>
    <d v="2025-02-13T00:00:00"/>
    <s v="F"/>
    <x v="3"/>
    <x v="0"/>
    <s v="California"/>
    <s v="Tulare County"/>
    <x v="4"/>
    <x v="5"/>
    <x v="2"/>
  </r>
  <r>
    <s v="TX500948"/>
    <x v="3"/>
    <x v="2"/>
    <n v="76.5"/>
    <n v="229.5"/>
    <x v="37"/>
    <d v="2025-02-08T00:00:00"/>
    <s v="F"/>
    <x v="0"/>
    <x v="1"/>
    <s v="California"/>
    <s v="Alameda County"/>
    <x v="3"/>
    <x v="5"/>
    <x v="2"/>
  </r>
  <r>
    <s v="TX500949"/>
    <x v="9"/>
    <x v="2"/>
    <n v="42.6"/>
    <n v="127.80000000000001"/>
    <x v="37"/>
    <d v="2025-02-13T00:00:00"/>
    <s v="F"/>
    <x v="2"/>
    <x v="2"/>
    <s v="California"/>
    <s v="Fresno County"/>
    <x v="4"/>
    <x v="5"/>
    <x v="2"/>
  </r>
  <r>
    <s v="TX500950"/>
    <x v="6"/>
    <x v="2"/>
    <n v="44.1"/>
    <n v="132.30000000000001"/>
    <x v="37"/>
    <d v="2025-02-09T00:00:00"/>
    <s v="F"/>
    <x v="1"/>
    <x v="1"/>
    <s v="California"/>
    <s v="Kern County"/>
    <x v="1"/>
    <x v="5"/>
    <x v="2"/>
  </r>
  <r>
    <s v="TX500951"/>
    <x v="8"/>
    <x v="1"/>
    <n v="40.9"/>
    <n v="81.8"/>
    <x v="37"/>
    <d v="2025-02-11T00:00:00"/>
    <s v="M"/>
    <x v="0"/>
    <x v="0"/>
    <s v="California"/>
    <s v="Los Angeles County"/>
    <x v="5"/>
    <x v="5"/>
    <x v="1"/>
  </r>
  <r>
    <s v="TX500952"/>
    <x v="9"/>
    <x v="2"/>
    <n v="49.1"/>
    <n v="147.30000000000001"/>
    <x v="37"/>
    <d v="2025-02-11T00:00:00"/>
    <s v="F"/>
    <x v="3"/>
    <x v="1"/>
    <s v="California"/>
    <s v="Los Angeles County"/>
    <x v="5"/>
    <x v="5"/>
    <x v="2"/>
  </r>
  <r>
    <s v="TX500953"/>
    <x v="18"/>
    <x v="0"/>
    <n v="85.3"/>
    <n v="85.3"/>
    <x v="37"/>
    <d v="2025-02-11T00:00:00"/>
    <s v="M"/>
    <x v="1"/>
    <x v="1"/>
    <s v="California"/>
    <s v="Los Angeles County"/>
    <x v="5"/>
    <x v="5"/>
    <x v="1"/>
  </r>
  <r>
    <s v="TX500954"/>
    <x v="6"/>
    <x v="12"/>
    <n v="43.1"/>
    <n v="172.4"/>
    <x v="38"/>
    <d v="2025-02-11T00:00:00"/>
    <s v="M"/>
    <x v="0"/>
    <x v="0"/>
    <s v="California"/>
    <s v="Los Angeles County"/>
    <x v="2"/>
    <x v="5"/>
    <x v="1"/>
  </r>
  <r>
    <s v="TX500955"/>
    <x v="4"/>
    <x v="12"/>
    <n v="46.2"/>
    <n v="184.8"/>
    <x v="38"/>
    <d v="2025-02-09T00:00:00"/>
    <s v="M"/>
    <x v="2"/>
    <x v="0"/>
    <s v="California"/>
    <s v="Los Angeles County"/>
    <x v="3"/>
    <x v="5"/>
    <x v="1"/>
  </r>
  <r>
    <s v="TX500956"/>
    <x v="1"/>
    <x v="0"/>
    <n v="74.400000000000006"/>
    <n v="74.400000000000006"/>
    <x v="38"/>
    <d v="2025-02-10T00:00:00"/>
    <s v="M"/>
    <x v="4"/>
    <x v="2"/>
    <s v="California"/>
    <s v="Los Angeles County"/>
    <x v="1"/>
    <x v="5"/>
    <x v="1"/>
  </r>
  <r>
    <s v="TX500957"/>
    <x v="17"/>
    <x v="1"/>
    <n v="51.2"/>
    <n v="102.4"/>
    <x v="38"/>
    <d v="2025-02-09T00:00:00"/>
    <s v="M"/>
    <x v="1"/>
    <x v="0"/>
    <s v="California"/>
    <s v="Los Angeles County"/>
    <x v="3"/>
    <x v="5"/>
    <x v="1"/>
  </r>
  <r>
    <s v="TX500958"/>
    <x v="14"/>
    <x v="12"/>
    <n v="11.8"/>
    <n v="47.2"/>
    <x v="38"/>
    <d v="2025-02-08T00:00:00"/>
    <s v="M"/>
    <x v="2"/>
    <x v="0"/>
    <s v="California"/>
    <s v="Los Angeles County"/>
    <x v="7"/>
    <x v="5"/>
    <x v="1"/>
  </r>
  <r>
    <s v="TX500959"/>
    <x v="10"/>
    <x v="6"/>
    <n v="40.799999999999997"/>
    <n v="1101.5999999999999"/>
    <x v="38"/>
    <d v="2025-02-09T00:00:00"/>
    <s v="F"/>
    <x v="3"/>
    <x v="2"/>
    <s v="California"/>
    <s v="Los Angeles County"/>
    <x v="3"/>
    <x v="5"/>
    <x v="2"/>
  </r>
  <r>
    <s v="TX500960"/>
    <x v="8"/>
    <x v="0"/>
    <n v="24.7"/>
    <n v="24.7"/>
    <x v="38"/>
    <d v="2025-02-10T00:00:00"/>
    <s v="F"/>
    <x v="2"/>
    <x v="1"/>
    <s v="California"/>
    <s v="Los Angeles County"/>
    <x v="1"/>
    <x v="5"/>
    <x v="2"/>
  </r>
  <r>
    <s v="TX500961"/>
    <x v="8"/>
    <x v="3"/>
    <n v="22.1"/>
    <n v="154.70000000000002"/>
    <x v="38"/>
    <d v="2025-02-08T00:00:00"/>
    <s v="F"/>
    <x v="2"/>
    <x v="4"/>
    <s v="California"/>
    <s v="Los Angeles County"/>
    <x v="7"/>
    <x v="5"/>
    <x v="2"/>
  </r>
  <r>
    <s v="TX500962"/>
    <x v="8"/>
    <x v="0"/>
    <n v="18.100000000000001"/>
    <n v="18.100000000000001"/>
    <x v="38"/>
    <d v="2025-02-12T00:00:00"/>
    <s v="M"/>
    <x v="3"/>
    <x v="2"/>
    <s v="California"/>
    <s v="Los Angeles County"/>
    <x v="5"/>
    <x v="5"/>
    <x v="1"/>
  </r>
  <r>
    <s v="TX500963"/>
    <x v="17"/>
    <x v="1"/>
    <n v="58.8"/>
    <n v="117.6"/>
    <x v="38"/>
    <d v="2025-02-11T00:00:00"/>
    <s v="F"/>
    <x v="0"/>
    <x v="0"/>
    <s v="California"/>
    <s v="Orange County"/>
    <x v="2"/>
    <x v="5"/>
    <x v="2"/>
  </r>
  <r>
    <s v="TX500964"/>
    <x v="18"/>
    <x v="1"/>
    <n v="30.8"/>
    <n v="61.6"/>
    <x v="38"/>
    <d v="2025-02-09T00:00:00"/>
    <s v="F"/>
    <x v="0"/>
    <x v="0"/>
    <s v="California"/>
    <s v="Sacramento County"/>
    <x v="3"/>
    <x v="5"/>
    <x v="2"/>
  </r>
  <r>
    <s v="TX500965"/>
    <x v="0"/>
    <x v="1"/>
    <n v="12"/>
    <n v="24"/>
    <x v="38"/>
    <d v="2025-02-12T00:00:00"/>
    <s v="F"/>
    <x v="0"/>
    <x v="0"/>
    <s v="California"/>
    <s v="Sacramento County"/>
    <x v="5"/>
    <x v="5"/>
    <x v="2"/>
  </r>
  <r>
    <s v="TX500966"/>
    <x v="0"/>
    <x v="12"/>
    <n v="13.6"/>
    <n v="54.4"/>
    <x v="38"/>
    <d v="2025-02-11T00:00:00"/>
    <s v="M"/>
    <x v="2"/>
    <x v="0"/>
    <s v="California"/>
    <s v="Sacramento County"/>
    <x v="2"/>
    <x v="5"/>
    <x v="1"/>
  </r>
  <r>
    <s v="TX500967"/>
    <x v="0"/>
    <x v="0"/>
    <n v="17.899999999999999"/>
    <n v="17.899999999999999"/>
    <x v="38"/>
    <d v="2025-02-09T00:00:00"/>
    <s v="M"/>
    <x v="3"/>
    <x v="0"/>
    <s v="California"/>
    <s v="Sacramento County"/>
    <x v="3"/>
    <x v="5"/>
    <x v="1"/>
  </r>
  <r>
    <s v="TX500968"/>
    <x v="9"/>
    <x v="1"/>
    <n v="38.6"/>
    <n v="77.2"/>
    <x v="38"/>
    <d v="2025-02-12T00:00:00"/>
    <s v="F"/>
    <x v="4"/>
    <x v="0"/>
    <s v="California"/>
    <s v="San Bernardino County"/>
    <x v="5"/>
    <x v="5"/>
    <x v="2"/>
  </r>
  <r>
    <s v="TX500969"/>
    <x v="5"/>
    <x v="9"/>
    <n v="32.700000000000003"/>
    <n v="163.5"/>
    <x v="38"/>
    <d v="2025-02-09T00:00:00"/>
    <s v="M"/>
    <x v="2"/>
    <x v="2"/>
    <s v="California"/>
    <s v="San Diego County"/>
    <x v="3"/>
    <x v="5"/>
    <x v="1"/>
  </r>
  <r>
    <s v="TX500970"/>
    <x v="3"/>
    <x v="1"/>
    <n v="111.4"/>
    <n v="222.8"/>
    <x v="38"/>
    <d v="2025-02-09T00:00:00"/>
    <s v="F"/>
    <x v="1"/>
    <x v="0"/>
    <s v="California"/>
    <s v="San Diego County"/>
    <x v="3"/>
    <x v="5"/>
    <x v="2"/>
  </r>
  <r>
    <s v="TX500971"/>
    <x v="2"/>
    <x v="13"/>
    <n v="80.3"/>
    <n v="481.79999999999995"/>
    <x v="38"/>
    <d v="2025-02-10T00:00:00"/>
    <s v="F"/>
    <x v="1"/>
    <x v="0"/>
    <s v="California"/>
    <s v="San Diego County"/>
    <x v="1"/>
    <x v="5"/>
    <x v="2"/>
  </r>
  <r>
    <s v="TX500972"/>
    <x v="6"/>
    <x v="1"/>
    <n v="58.9"/>
    <n v="117.8"/>
    <x v="38"/>
    <d v="2025-02-09T00:00:00"/>
    <s v="M"/>
    <x v="1"/>
    <x v="0"/>
    <s v="California"/>
    <s v="San Diego County"/>
    <x v="3"/>
    <x v="5"/>
    <x v="1"/>
  </r>
  <r>
    <s v="TX500973"/>
    <x v="6"/>
    <x v="2"/>
    <n v="51.9"/>
    <n v="155.69999999999999"/>
    <x v="38"/>
    <d v="2025-02-10T00:00:00"/>
    <s v="F"/>
    <x v="1"/>
    <x v="4"/>
    <s v="California"/>
    <s v="San Diego County"/>
    <x v="1"/>
    <x v="5"/>
    <x v="2"/>
  </r>
  <r>
    <s v="TX500974"/>
    <x v="2"/>
    <x v="2"/>
    <n v="50.3"/>
    <n v="150.89999999999998"/>
    <x v="38"/>
    <d v="2025-02-09T00:00:00"/>
    <s v="M"/>
    <x v="2"/>
    <x v="0"/>
    <s v="California"/>
    <s v="San Francisco"/>
    <x v="3"/>
    <x v="5"/>
    <x v="1"/>
  </r>
  <r>
    <s v="TX500975"/>
    <x v="11"/>
    <x v="13"/>
    <n v="45"/>
    <n v="270"/>
    <x v="38"/>
    <d v="2025-02-14T00:00:00"/>
    <s v="F"/>
    <x v="3"/>
    <x v="0"/>
    <s v="California"/>
    <s v="San Mateo County"/>
    <x v="4"/>
    <x v="5"/>
    <x v="2"/>
  </r>
  <r>
    <s v="TX500976"/>
    <x v="10"/>
    <x v="13"/>
    <n v="44.7"/>
    <n v="268.20000000000005"/>
    <x v="38"/>
    <d v="2025-02-10T00:00:00"/>
    <s v="F"/>
    <x v="2"/>
    <x v="0"/>
    <s v="California"/>
    <s v="Santa Clara County"/>
    <x v="1"/>
    <x v="5"/>
    <x v="2"/>
  </r>
  <r>
    <s v="TX500977"/>
    <x v="18"/>
    <x v="20"/>
    <n v="33"/>
    <n v="495"/>
    <x v="38"/>
    <d v="2025-02-09T00:00:00"/>
    <s v="F"/>
    <x v="2"/>
    <x v="0"/>
    <s v="California"/>
    <s v="Santa Clara County"/>
    <x v="3"/>
    <x v="5"/>
    <x v="2"/>
  </r>
  <r>
    <s v="TX500978"/>
    <x v="1"/>
    <x v="9"/>
    <n v="44.9"/>
    <n v="224.5"/>
    <x v="38"/>
    <d v="2025-02-11T00:00:00"/>
    <s v="F"/>
    <x v="2"/>
    <x v="2"/>
    <s v="California"/>
    <s v="Sonoma County"/>
    <x v="2"/>
    <x v="5"/>
    <x v="2"/>
  </r>
  <r>
    <s v="TX500979"/>
    <x v="10"/>
    <x v="1"/>
    <n v="34.6"/>
    <n v="69.2"/>
    <x v="38"/>
    <d v="2025-02-12T00:00:00"/>
    <s v="F"/>
    <x v="0"/>
    <x v="1"/>
    <s v="California"/>
    <s v="Stanislaus County"/>
    <x v="5"/>
    <x v="5"/>
    <x v="2"/>
  </r>
  <r>
    <s v="TX500980"/>
    <x v="7"/>
    <x v="3"/>
    <n v="47.1"/>
    <n v="329.7"/>
    <x v="38"/>
    <d v="2025-02-13T00:00:00"/>
    <s v="F"/>
    <x v="0"/>
    <x v="0"/>
    <s v="California"/>
    <s v="Ventura County"/>
    <x v="0"/>
    <x v="5"/>
    <x v="2"/>
  </r>
  <r>
    <s v="TX500981"/>
    <x v="4"/>
    <x v="9"/>
    <n v="26.1"/>
    <n v="130.5"/>
    <x v="38"/>
    <d v="2025-02-13T00:00:00"/>
    <s v="M"/>
    <x v="0"/>
    <x v="2"/>
    <s v="California"/>
    <s v="Alameda County"/>
    <x v="0"/>
    <x v="5"/>
    <x v="1"/>
  </r>
  <r>
    <s v="TX500982"/>
    <x v="12"/>
    <x v="9"/>
    <n v="66.8"/>
    <n v="334"/>
    <x v="38"/>
    <d v="2025-02-11T00:00:00"/>
    <s v="F"/>
    <x v="0"/>
    <x v="0"/>
    <s v="California"/>
    <s v="Alameda County"/>
    <x v="2"/>
    <x v="5"/>
    <x v="2"/>
  </r>
  <r>
    <s v="TX500983"/>
    <x v="2"/>
    <x v="1"/>
    <n v="167.9"/>
    <n v="335.8"/>
    <x v="38"/>
    <d v="2025-02-09T00:00:00"/>
    <s v="F"/>
    <x v="3"/>
    <x v="2"/>
    <s v="California"/>
    <s v="Alameda County"/>
    <x v="3"/>
    <x v="5"/>
    <x v="2"/>
  </r>
  <r>
    <s v="TX500984"/>
    <x v="10"/>
    <x v="11"/>
    <n v="34.6"/>
    <n v="311.40000000000003"/>
    <x v="38"/>
    <d v="2025-02-09T00:00:00"/>
    <s v="F"/>
    <x v="2"/>
    <x v="1"/>
    <s v="California"/>
    <s v="Alameda County"/>
    <x v="3"/>
    <x v="5"/>
    <x v="2"/>
  </r>
  <r>
    <s v="TX500985"/>
    <x v="8"/>
    <x v="2"/>
    <n v="35.1"/>
    <n v="105.30000000000001"/>
    <x v="39"/>
    <d v="2025-02-13T00:00:00"/>
    <s v="M"/>
    <x v="4"/>
    <x v="2"/>
    <s v="California"/>
    <s v="Contra Costa County"/>
    <x v="5"/>
    <x v="6"/>
    <x v="1"/>
  </r>
  <r>
    <s v="TX500986"/>
    <x v="6"/>
    <x v="12"/>
    <n v="104.5"/>
    <n v="418"/>
    <x v="39"/>
    <d v="2025-02-10T00:00:00"/>
    <s v="M"/>
    <x v="1"/>
    <x v="1"/>
    <s v="California"/>
    <s v="Contra Costa County"/>
    <x v="3"/>
    <x v="6"/>
    <x v="1"/>
  </r>
  <r>
    <s v="TX500987"/>
    <x v="8"/>
    <x v="0"/>
    <n v="37.9"/>
    <n v="37.9"/>
    <x v="39"/>
    <d v="2025-02-11T00:00:00"/>
    <s v=""/>
    <x v="1"/>
    <x v="2"/>
    <s v="California"/>
    <s v="Fresno County"/>
    <x v="1"/>
    <x v="6"/>
    <x v="0"/>
  </r>
  <r>
    <s v="TX500988"/>
    <x v="4"/>
    <x v="2"/>
    <n v="25.5"/>
    <n v="76.5"/>
    <x v="39"/>
    <d v="2025-02-12T00:00:00"/>
    <s v="M"/>
    <x v="3"/>
    <x v="0"/>
    <s v="California"/>
    <s v="Fresno County"/>
    <x v="2"/>
    <x v="6"/>
    <x v="1"/>
  </r>
  <r>
    <s v="TX500989"/>
    <x v="0"/>
    <x v="2"/>
    <n v="32"/>
    <n v="96"/>
    <x v="39"/>
    <d v="2025-02-13T00:00:00"/>
    <s v="F"/>
    <x v="1"/>
    <x v="0"/>
    <s v="California"/>
    <s v="Kern County"/>
    <x v="5"/>
    <x v="6"/>
    <x v="2"/>
  </r>
  <r>
    <s v="TX500990"/>
    <x v="1"/>
    <x v="0"/>
    <n v="47.1"/>
    <n v="47.1"/>
    <x v="39"/>
    <d v="2025-02-10T00:00:00"/>
    <s v="F"/>
    <x v="0"/>
    <x v="0"/>
    <s v="California"/>
    <s v="Kings County"/>
    <x v="3"/>
    <x v="6"/>
    <x v="2"/>
  </r>
  <r>
    <s v="TX500991"/>
    <x v="6"/>
    <x v="1"/>
    <n v="50.6"/>
    <n v="101.2"/>
    <x v="39"/>
    <d v="2025-02-15T00:00:00"/>
    <s v=""/>
    <x v="0"/>
    <x v="0"/>
    <s v="California"/>
    <s v="Los Angeles County"/>
    <x v="4"/>
    <x v="6"/>
    <x v="0"/>
  </r>
  <r>
    <s v="TX500992"/>
    <x v="6"/>
    <x v="9"/>
    <n v="81.7"/>
    <n v="408.5"/>
    <x v="39"/>
    <d v="2025-02-10T00:00:00"/>
    <s v="F"/>
    <x v="1"/>
    <x v="2"/>
    <s v="California"/>
    <s v="Los Angeles County"/>
    <x v="3"/>
    <x v="6"/>
    <x v="2"/>
  </r>
  <r>
    <s v="TX500993"/>
    <x v="5"/>
    <x v="1"/>
    <n v="50.7"/>
    <n v="101.4"/>
    <x v="39"/>
    <d v="2025-02-10T00:00:00"/>
    <s v="O"/>
    <x v="2"/>
    <x v="2"/>
    <s v="California"/>
    <s v="Los Angeles County"/>
    <x v="3"/>
    <x v="6"/>
    <x v="3"/>
  </r>
  <r>
    <s v="TX500994"/>
    <x v="2"/>
    <x v="10"/>
    <n v="67.3"/>
    <n v="1278.7"/>
    <x v="39"/>
    <d v="2025-02-13T00:00:00"/>
    <s v="F"/>
    <x v="2"/>
    <x v="0"/>
    <s v="California"/>
    <s v="Los Angeles County"/>
    <x v="5"/>
    <x v="6"/>
    <x v="2"/>
  </r>
  <r>
    <s v="TX500995"/>
    <x v="2"/>
    <x v="12"/>
    <n v="64.8"/>
    <n v="259.2"/>
    <x v="39"/>
    <d v="2025-02-12T00:00:00"/>
    <s v="F"/>
    <x v="3"/>
    <x v="0"/>
    <s v="California"/>
    <s v="Los Angeles County"/>
    <x v="2"/>
    <x v="6"/>
    <x v="2"/>
  </r>
  <r>
    <s v="TX500996"/>
    <x v="5"/>
    <x v="32"/>
    <n v="61.3"/>
    <n v="1348.6"/>
    <x v="39"/>
    <d v="2025-02-10T00:00:00"/>
    <s v="F"/>
    <x v="0"/>
    <x v="2"/>
    <s v="California"/>
    <s v="Los Angeles County"/>
    <x v="3"/>
    <x v="6"/>
    <x v="2"/>
  </r>
  <r>
    <s v="TX500997"/>
    <x v="14"/>
    <x v="0"/>
    <n v="32.9"/>
    <n v="32.9"/>
    <x v="39"/>
    <d v="2025-02-12T00:00:00"/>
    <s v="F"/>
    <x v="4"/>
    <x v="0"/>
    <s v="California"/>
    <s v="Los Angeles County"/>
    <x v="2"/>
    <x v="6"/>
    <x v="2"/>
  </r>
  <r>
    <s v="TX500998"/>
    <x v="6"/>
    <x v="1"/>
    <n v="100.8"/>
    <n v="201.6"/>
    <x v="39"/>
    <d v="2025-02-12T00:00:00"/>
    <s v="F"/>
    <x v="0"/>
    <x v="0"/>
    <s v="California"/>
    <s v="Los Angeles County"/>
    <x v="2"/>
    <x v="6"/>
    <x v="2"/>
  </r>
  <r>
    <s v="TX500999"/>
    <x v="8"/>
    <x v="12"/>
    <n v="25.1"/>
    <n v="100.4"/>
    <x v="39"/>
    <d v="2025-02-11T00:00:00"/>
    <s v="F"/>
    <x v="1"/>
    <x v="0"/>
    <s v="California"/>
    <s v="Los Angeles County"/>
    <x v="1"/>
    <x v="6"/>
    <x v="2"/>
  </r>
  <r>
    <s v="TX501000"/>
    <x v="17"/>
    <x v="0"/>
    <n v="48.5"/>
    <n v="48.5"/>
    <x v="39"/>
    <d v="2025-02-10T00:00:00"/>
    <s v="F"/>
    <x v="0"/>
    <x v="1"/>
    <s v="California"/>
    <s v="Los Angeles County"/>
    <x v="3"/>
    <x v="6"/>
    <x v="2"/>
  </r>
  <r>
    <s v="TX501001"/>
    <x v="7"/>
    <x v="1"/>
    <n v="33.6"/>
    <n v="67.2"/>
    <x v="39"/>
    <d v="2025-02-13T00:00:00"/>
    <s v="F"/>
    <x v="2"/>
    <x v="2"/>
    <s v="California"/>
    <s v="Los Angeles County"/>
    <x v="5"/>
    <x v="6"/>
    <x v="2"/>
  </r>
  <r>
    <s v="TX501002"/>
    <x v="8"/>
    <x v="0"/>
    <n v="39.299999999999997"/>
    <n v="39.299999999999997"/>
    <x v="39"/>
    <d v="2025-02-20T00:00:00"/>
    <s v="F"/>
    <x v="1"/>
    <x v="1"/>
    <s v="California"/>
    <s v="Monterey County"/>
    <x v="11"/>
    <x v="6"/>
    <x v="2"/>
  </r>
  <r>
    <s v="TX501003"/>
    <x v="4"/>
    <x v="7"/>
    <n v="48.8"/>
    <n v="488"/>
    <x v="39"/>
    <d v="2025-02-11T00:00:00"/>
    <s v="F"/>
    <x v="3"/>
    <x v="1"/>
    <s v="California"/>
    <s v="Orange County"/>
    <x v="1"/>
    <x v="6"/>
    <x v="2"/>
  </r>
  <r>
    <s v="TX501004"/>
    <x v="6"/>
    <x v="8"/>
    <n v="72.8"/>
    <n v="582.4"/>
    <x v="39"/>
    <d v="2025-02-11T00:00:00"/>
    <s v="M"/>
    <x v="1"/>
    <x v="2"/>
    <s v="California"/>
    <s v="Placer County"/>
    <x v="1"/>
    <x v="6"/>
    <x v="1"/>
  </r>
  <r>
    <s v="TX501005"/>
    <x v="10"/>
    <x v="8"/>
    <n v="46.2"/>
    <n v="369.6"/>
    <x v="39"/>
    <d v="2025-02-10T00:00:00"/>
    <s v="M"/>
    <x v="3"/>
    <x v="4"/>
    <s v="California"/>
    <s v="Placer County"/>
    <x v="3"/>
    <x v="6"/>
    <x v="1"/>
  </r>
  <r>
    <s v="TX501006"/>
    <x v="4"/>
    <x v="1"/>
    <n v="20.7"/>
    <n v="41.4"/>
    <x v="39"/>
    <d v="2025-02-10T00:00:00"/>
    <s v="F"/>
    <x v="2"/>
    <x v="3"/>
    <s v="California"/>
    <s v="Sacramento County"/>
    <x v="3"/>
    <x v="6"/>
    <x v="2"/>
  </r>
  <r>
    <s v="TX501007"/>
    <x v="0"/>
    <x v="0"/>
    <n v="35.700000000000003"/>
    <n v="35.700000000000003"/>
    <x v="39"/>
    <d v="2025-02-11T00:00:00"/>
    <s v="F"/>
    <x v="3"/>
    <x v="0"/>
    <s v="California"/>
    <s v="Sacramento County"/>
    <x v="1"/>
    <x v="6"/>
    <x v="2"/>
  </r>
  <r>
    <s v="TX501008"/>
    <x v="2"/>
    <x v="27"/>
    <n v="166.2"/>
    <n v="2659.2"/>
    <x v="39"/>
    <d v="2025-02-11T00:00:00"/>
    <s v=""/>
    <x v="2"/>
    <x v="0"/>
    <s v="California"/>
    <s v="San Bernardino County"/>
    <x v="1"/>
    <x v="6"/>
    <x v="0"/>
  </r>
  <r>
    <s v="TX501009"/>
    <x v="6"/>
    <x v="12"/>
    <n v="85.8"/>
    <n v="343.2"/>
    <x v="39"/>
    <d v="2025-02-10T00:00:00"/>
    <s v="F"/>
    <x v="1"/>
    <x v="1"/>
    <s v="California"/>
    <s v="San Bernardino County"/>
    <x v="3"/>
    <x v="6"/>
    <x v="2"/>
  </r>
  <r>
    <s v="TX501010"/>
    <x v="8"/>
    <x v="2"/>
    <n v="26"/>
    <n v="78"/>
    <x v="39"/>
    <d v="2025-02-11T00:00:00"/>
    <s v="O"/>
    <x v="1"/>
    <x v="0"/>
    <s v="California"/>
    <s v="San Bernardino County"/>
    <x v="1"/>
    <x v="6"/>
    <x v="3"/>
  </r>
  <r>
    <s v="TX501011"/>
    <x v="2"/>
    <x v="15"/>
    <n v="116.6"/>
    <n v="1515.8"/>
    <x v="39"/>
    <d v="2025-02-12T00:00:00"/>
    <s v="F"/>
    <x v="0"/>
    <x v="0"/>
    <s v="California"/>
    <s v="San Diego County"/>
    <x v="2"/>
    <x v="6"/>
    <x v="2"/>
  </r>
  <r>
    <s v="TX501012"/>
    <x v="9"/>
    <x v="3"/>
    <n v="53.9"/>
    <n v="377.3"/>
    <x v="39"/>
    <d v="2025-02-12T00:00:00"/>
    <s v="O"/>
    <x v="0"/>
    <x v="2"/>
    <s v="California"/>
    <s v="San Diego County"/>
    <x v="2"/>
    <x v="6"/>
    <x v="3"/>
  </r>
  <r>
    <s v="TX501013"/>
    <x v="12"/>
    <x v="9"/>
    <n v="72.3"/>
    <n v="361.5"/>
    <x v="39"/>
    <d v="2025-02-11T00:00:00"/>
    <s v=""/>
    <x v="2"/>
    <x v="2"/>
    <s v="California"/>
    <s v="San Diego County"/>
    <x v="1"/>
    <x v="6"/>
    <x v="0"/>
  </r>
  <r>
    <s v="TX501014"/>
    <x v="5"/>
    <x v="1"/>
    <n v="31.4"/>
    <n v="62.8"/>
    <x v="39"/>
    <d v="2025-02-11T00:00:00"/>
    <s v="F"/>
    <x v="0"/>
    <x v="0"/>
    <s v="California"/>
    <s v="San Diego County"/>
    <x v="1"/>
    <x v="6"/>
    <x v="2"/>
  </r>
  <r>
    <s v="TX501015"/>
    <x v="13"/>
    <x v="1"/>
    <n v="53.1"/>
    <n v="106.2"/>
    <x v="39"/>
    <d v="2025-02-12T00:00:00"/>
    <s v="M"/>
    <x v="1"/>
    <x v="0"/>
    <s v="California"/>
    <s v="San Diego County"/>
    <x v="2"/>
    <x v="6"/>
    <x v="1"/>
  </r>
  <r>
    <s v="TX501016"/>
    <x v="2"/>
    <x v="12"/>
    <n v="56.2"/>
    <n v="224.8"/>
    <x v="39"/>
    <d v="2025-02-10T00:00:00"/>
    <s v="F"/>
    <x v="0"/>
    <x v="0"/>
    <s v="California"/>
    <s v="San Diego County"/>
    <x v="3"/>
    <x v="6"/>
    <x v="2"/>
  </r>
  <r>
    <s v="TX501017"/>
    <x v="1"/>
    <x v="7"/>
    <n v="77.3"/>
    <n v="773"/>
    <x v="39"/>
    <d v="2025-02-10T00:00:00"/>
    <s v="F"/>
    <x v="2"/>
    <x v="0"/>
    <s v="California"/>
    <s v="Santa Clara County"/>
    <x v="3"/>
    <x v="6"/>
    <x v="2"/>
  </r>
  <r>
    <s v="TX501018"/>
    <x v="6"/>
    <x v="15"/>
    <n v="57.8"/>
    <n v="751.4"/>
    <x v="39"/>
    <d v="2025-02-10T00:00:00"/>
    <s v=""/>
    <x v="0"/>
    <x v="0"/>
    <s v="California"/>
    <s v="Shasta County"/>
    <x v="3"/>
    <x v="6"/>
    <x v="0"/>
  </r>
  <r>
    <s v="TX501019"/>
    <x v="12"/>
    <x v="20"/>
    <n v="42.1"/>
    <n v="631.5"/>
    <x v="39"/>
    <d v="2025-02-11T00:00:00"/>
    <s v="F"/>
    <x v="1"/>
    <x v="1"/>
    <s v="California"/>
    <s v="Shasta County"/>
    <x v="1"/>
    <x v="6"/>
    <x v="2"/>
  </r>
  <r>
    <s v="TX501020"/>
    <x v="8"/>
    <x v="11"/>
    <n v="22.8"/>
    <n v="205.20000000000002"/>
    <x v="39"/>
    <d v="2025-02-13T00:00:00"/>
    <s v="M"/>
    <x v="2"/>
    <x v="2"/>
    <s v="California"/>
    <s v="Stanislaus County"/>
    <x v="5"/>
    <x v="6"/>
    <x v="1"/>
  </r>
  <r>
    <s v="TX501021"/>
    <x v="2"/>
    <x v="2"/>
    <n v="171.1"/>
    <n v="513.29999999999995"/>
    <x v="40"/>
    <d v="2025-02-17T00:00:00"/>
    <s v="F"/>
    <x v="2"/>
    <x v="1"/>
    <s v="California"/>
    <s v="Stanislaus County"/>
    <x v="6"/>
    <x v="6"/>
    <x v="2"/>
  </r>
  <r>
    <s v="TX501022"/>
    <x v="8"/>
    <x v="0"/>
    <n v="28"/>
    <n v="28"/>
    <x v="40"/>
    <d v="2025-02-12T00:00:00"/>
    <s v="M"/>
    <x v="2"/>
    <x v="2"/>
    <s v="California"/>
    <s v="Alameda County"/>
    <x v="1"/>
    <x v="6"/>
    <x v="1"/>
  </r>
  <r>
    <s v="TX501023"/>
    <x v="6"/>
    <x v="3"/>
    <n v="50.2"/>
    <n v="351.40000000000003"/>
    <x v="40"/>
    <d v="2025-02-12T00:00:00"/>
    <s v="M"/>
    <x v="2"/>
    <x v="0"/>
    <s v="California"/>
    <s v="Alameda County"/>
    <x v="1"/>
    <x v="6"/>
    <x v="1"/>
  </r>
  <r>
    <s v="TX501024"/>
    <x v="6"/>
    <x v="1"/>
    <n v="56"/>
    <n v="112"/>
    <x v="40"/>
    <d v="2025-02-10T00:00:00"/>
    <s v="M"/>
    <x v="0"/>
    <x v="2"/>
    <s v="California"/>
    <s v="Kern County"/>
    <x v="7"/>
    <x v="6"/>
    <x v="1"/>
  </r>
  <r>
    <s v="TX501025"/>
    <x v="1"/>
    <x v="1"/>
    <n v="38.299999999999997"/>
    <n v="76.599999999999994"/>
    <x v="40"/>
    <d v="2025-02-11T00:00:00"/>
    <s v="F"/>
    <x v="1"/>
    <x v="0"/>
    <s v="California"/>
    <s v="Los Angeles County"/>
    <x v="3"/>
    <x v="6"/>
    <x v="2"/>
  </r>
  <r>
    <s v="TX501026"/>
    <x v="0"/>
    <x v="9"/>
    <n v="22.3"/>
    <n v="111.5"/>
    <x v="40"/>
    <d v="2025-02-14T00:00:00"/>
    <s v="F"/>
    <x v="2"/>
    <x v="1"/>
    <s v="California"/>
    <s v="Los Angeles County"/>
    <x v="5"/>
    <x v="6"/>
    <x v="2"/>
  </r>
  <r>
    <s v="TX501027"/>
    <x v="0"/>
    <x v="2"/>
    <n v="22.3"/>
    <n v="66.900000000000006"/>
    <x v="40"/>
    <d v="2025-02-13T00:00:00"/>
    <s v="F"/>
    <x v="2"/>
    <x v="0"/>
    <s v="California"/>
    <s v="Los Angeles County"/>
    <x v="2"/>
    <x v="6"/>
    <x v="2"/>
  </r>
  <r>
    <s v="TX501028"/>
    <x v="1"/>
    <x v="0"/>
    <n v="32.9"/>
    <n v="32.9"/>
    <x v="40"/>
    <d v="2025-02-15T00:00:00"/>
    <s v="F"/>
    <x v="0"/>
    <x v="0"/>
    <s v="California"/>
    <s v="Los Angeles County"/>
    <x v="0"/>
    <x v="6"/>
    <x v="2"/>
  </r>
  <r>
    <s v="TX501029"/>
    <x v="10"/>
    <x v="2"/>
    <n v="31.9"/>
    <n v="95.699999999999989"/>
    <x v="40"/>
    <d v="2025-02-15T00:00:00"/>
    <s v="F"/>
    <x v="0"/>
    <x v="0"/>
    <s v="California"/>
    <s v="Los Angeles County"/>
    <x v="0"/>
    <x v="6"/>
    <x v="2"/>
  </r>
  <r>
    <s v="TX501030"/>
    <x v="6"/>
    <x v="1"/>
    <n v="94"/>
    <n v="188"/>
    <x v="40"/>
    <d v="2025-02-11T00:00:00"/>
    <s v="M"/>
    <x v="2"/>
    <x v="2"/>
    <s v="California"/>
    <s v="Los Angeles County"/>
    <x v="3"/>
    <x v="6"/>
    <x v="1"/>
  </r>
  <r>
    <s v="TX501031"/>
    <x v="10"/>
    <x v="1"/>
    <n v="30.7"/>
    <n v="61.4"/>
    <x v="40"/>
    <d v="2025-02-11T00:00:00"/>
    <s v="F"/>
    <x v="0"/>
    <x v="1"/>
    <s v="California"/>
    <s v="Los Angeles County"/>
    <x v="3"/>
    <x v="6"/>
    <x v="2"/>
  </r>
  <r>
    <s v="TX501032"/>
    <x v="5"/>
    <x v="9"/>
    <n v="90.5"/>
    <n v="452.5"/>
    <x v="40"/>
    <d v="2025-02-17T00:00:00"/>
    <s v="M"/>
    <x v="0"/>
    <x v="2"/>
    <s v="California"/>
    <s v="Los Angeles County"/>
    <x v="6"/>
    <x v="6"/>
    <x v="1"/>
  </r>
  <r>
    <s v="TX501033"/>
    <x v="8"/>
    <x v="9"/>
    <n v="25.3"/>
    <n v="126.5"/>
    <x v="40"/>
    <d v="2025-02-14T00:00:00"/>
    <s v="F"/>
    <x v="0"/>
    <x v="2"/>
    <s v="California"/>
    <s v="Los Angeles County"/>
    <x v="5"/>
    <x v="6"/>
    <x v="2"/>
  </r>
  <r>
    <s v="TX501034"/>
    <x v="6"/>
    <x v="2"/>
    <n v="58.1"/>
    <n v="174.3"/>
    <x v="40"/>
    <d v="2025-02-14T00:00:00"/>
    <s v=""/>
    <x v="0"/>
    <x v="2"/>
    <s v="California"/>
    <s v="Los Angeles County"/>
    <x v="5"/>
    <x v="6"/>
    <x v="0"/>
  </r>
  <r>
    <s v="TX501035"/>
    <x v="2"/>
    <x v="2"/>
    <n v="74.900000000000006"/>
    <n v="224.70000000000002"/>
    <x v="40"/>
    <d v="2025-02-11T00:00:00"/>
    <s v="F"/>
    <x v="4"/>
    <x v="0"/>
    <s v="California"/>
    <s v="Los Angeles County"/>
    <x v="3"/>
    <x v="6"/>
    <x v="2"/>
  </r>
  <r>
    <s v="TX501036"/>
    <x v="4"/>
    <x v="1"/>
    <n v="32.5"/>
    <n v="65"/>
    <x v="40"/>
    <d v="2025-02-11T00:00:00"/>
    <s v="M"/>
    <x v="2"/>
    <x v="2"/>
    <s v="California"/>
    <s v="Marin County"/>
    <x v="3"/>
    <x v="6"/>
    <x v="1"/>
  </r>
  <r>
    <s v="TX501037"/>
    <x v="4"/>
    <x v="9"/>
    <n v="62"/>
    <n v="310"/>
    <x v="40"/>
    <d v="2025-02-11T00:00:00"/>
    <s v="M"/>
    <x v="4"/>
    <x v="2"/>
    <s v="California"/>
    <s v="Orange County"/>
    <x v="3"/>
    <x v="6"/>
    <x v="1"/>
  </r>
  <r>
    <s v="TX501038"/>
    <x v="13"/>
    <x v="13"/>
    <n v="28.9"/>
    <n v="173.39999999999998"/>
    <x v="40"/>
    <d v="2025-02-13T00:00:00"/>
    <s v="F"/>
    <x v="0"/>
    <x v="1"/>
    <s v="California"/>
    <s v="Sacramento County"/>
    <x v="2"/>
    <x v="6"/>
    <x v="2"/>
  </r>
  <r>
    <s v="TX501039"/>
    <x v="6"/>
    <x v="8"/>
    <n v="42.8"/>
    <n v="342.4"/>
    <x v="40"/>
    <d v="2025-02-12T00:00:00"/>
    <s v="F"/>
    <x v="0"/>
    <x v="2"/>
    <s v="California"/>
    <s v="Sacramento County"/>
    <x v="1"/>
    <x v="6"/>
    <x v="2"/>
  </r>
  <r>
    <s v="TX501040"/>
    <x v="8"/>
    <x v="8"/>
    <n v="39.4"/>
    <n v="315.2"/>
    <x v="40"/>
    <d v="2025-02-12T00:00:00"/>
    <s v="M"/>
    <x v="0"/>
    <x v="0"/>
    <s v="California"/>
    <s v="San Benito County"/>
    <x v="1"/>
    <x v="6"/>
    <x v="1"/>
  </r>
  <r>
    <s v="TX501041"/>
    <x v="18"/>
    <x v="2"/>
    <n v="66.400000000000006"/>
    <n v="199.20000000000002"/>
    <x v="40"/>
    <d v="2025-02-11T00:00:00"/>
    <s v=""/>
    <x v="2"/>
    <x v="1"/>
    <s v="California"/>
    <s v="San Bernardino County"/>
    <x v="3"/>
    <x v="6"/>
    <x v="0"/>
  </r>
  <r>
    <s v="TX501042"/>
    <x v="17"/>
    <x v="12"/>
    <n v="35.9"/>
    <n v="143.6"/>
    <x v="40"/>
    <d v="2025-02-17T00:00:00"/>
    <s v="F"/>
    <x v="1"/>
    <x v="0"/>
    <s v="California"/>
    <s v="San Bernardino County"/>
    <x v="6"/>
    <x v="6"/>
    <x v="2"/>
  </r>
  <r>
    <s v="TX501043"/>
    <x v="0"/>
    <x v="12"/>
    <n v="26.9"/>
    <n v="107.6"/>
    <x v="40"/>
    <d v="2025-02-11T00:00:00"/>
    <s v="M"/>
    <x v="1"/>
    <x v="0"/>
    <s v="California"/>
    <s v="San Bernardino County"/>
    <x v="3"/>
    <x v="6"/>
    <x v="1"/>
  </r>
  <r>
    <s v="TX501044"/>
    <x v="2"/>
    <x v="0"/>
    <n v="55.1"/>
    <n v="55.1"/>
    <x v="40"/>
    <d v="2025-02-11T00:00:00"/>
    <s v="F"/>
    <x v="0"/>
    <x v="0"/>
    <s v="California"/>
    <s v="San Bernardino County"/>
    <x v="3"/>
    <x v="6"/>
    <x v="2"/>
  </r>
  <r>
    <s v="TX501045"/>
    <x v="4"/>
    <x v="1"/>
    <n v="23.9"/>
    <n v="47.8"/>
    <x v="40"/>
    <d v="2025-02-11T00:00:00"/>
    <s v="M"/>
    <x v="0"/>
    <x v="2"/>
    <s v="California"/>
    <s v="San Diego County"/>
    <x v="3"/>
    <x v="6"/>
    <x v="1"/>
  </r>
  <r>
    <s v="TX501046"/>
    <x v="9"/>
    <x v="15"/>
    <n v="21.1"/>
    <n v="274.3"/>
    <x v="40"/>
    <d v="2025-02-18T00:00:00"/>
    <s v="F"/>
    <x v="0"/>
    <x v="1"/>
    <s v="California"/>
    <s v="San Diego County"/>
    <x v="9"/>
    <x v="6"/>
    <x v="2"/>
  </r>
  <r>
    <s v="TX501047"/>
    <x v="8"/>
    <x v="9"/>
    <n v="33.799999999999997"/>
    <n v="169"/>
    <x v="40"/>
    <d v="2025-02-12T00:00:00"/>
    <s v="F"/>
    <x v="0"/>
    <x v="0"/>
    <s v="California"/>
    <s v="San Diego County"/>
    <x v="1"/>
    <x v="6"/>
    <x v="2"/>
  </r>
  <r>
    <s v="TX501048"/>
    <x v="2"/>
    <x v="12"/>
    <n v="56.1"/>
    <n v="224.4"/>
    <x v="40"/>
    <d v="2025-02-10T00:00:00"/>
    <s v="F"/>
    <x v="3"/>
    <x v="2"/>
    <s v="California"/>
    <s v="San Mateo County"/>
    <x v="7"/>
    <x v="6"/>
    <x v="2"/>
  </r>
  <r>
    <s v="TX501049"/>
    <x v="3"/>
    <x v="0"/>
    <n v="58.5"/>
    <n v="58.5"/>
    <x v="41"/>
    <d v="2025-02-15T00:00:00"/>
    <s v="F"/>
    <x v="1"/>
    <x v="2"/>
    <s v="California"/>
    <s v="San Mateo County"/>
    <x v="5"/>
    <x v="6"/>
    <x v="2"/>
  </r>
  <r>
    <s v="TX501050"/>
    <x v="6"/>
    <x v="0"/>
    <n v="84.2"/>
    <n v="84.2"/>
    <x v="41"/>
    <d v="2025-02-13T00:00:00"/>
    <s v="M"/>
    <x v="3"/>
    <x v="0"/>
    <s v="California"/>
    <s v="Santa Clara County"/>
    <x v="1"/>
    <x v="6"/>
    <x v="1"/>
  </r>
  <r>
    <s v="TX501051"/>
    <x v="11"/>
    <x v="12"/>
    <n v="52"/>
    <n v="208"/>
    <x v="41"/>
    <d v="2025-02-14T00:00:00"/>
    <s v="M"/>
    <x v="0"/>
    <x v="0"/>
    <s v="California"/>
    <s v="Santa Clara County"/>
    <x v="2"/>
    <x v="6"/>
    <x v="1"/>
  </r>
  <r>
    <s v="TX501052"/>
    <x v="4"/>
    <x v="9"/>
    <n v="31.5"/>
    <n v="157.5"/>
    <x v="41"/>
    <d v="2025-02-12T00:00:00"/>
    <s v="F"/>
    <x v="0"/>
    <x v="2"/>
    <s v="California"/>
    <s v="Santa Clara County"/>
    <x v="3"/>
    <x v="6"/>
    <x v="2"/>
  </r>
  <r>
    <s v="TX501053"/>
    <x v="16"/>
    <x v="2"/>
    <n v="46.2"/>
    <n v="138.60000000000002"/>
    <x v="41"/>
    <d v="2025-02-12T00:00:00"/>
    <s v="M"/>
    <x v="0"/>
    <x v="0"/>
    <s v="California"/>
    <s v="Shasta County"/>
    <x v="3"/>
    <x v="6"/>
    <x v="1"/>
  </r>
  <r>
    <s v="TX501054"/>
    <x v="2"/>
    <x v="13"/>
    <n v="135"/>
    <n v="810"/>
    <x v="41"/>
    <d v="2025-02-12T00:00:00"/>
    <s v="F"/>
    <x v="1"/>
    <x v="2"/>
    <s v="California"/>
    <s v="Sonoma County"/>
    <x v="3"/>
    <x v="6"/>
    <x v="2"/>
  </r>
  <r>
    <s v="TX501055"/>
    <x v="12"/>
    <x v="2"/>
    <n v="92.2"/>
    <n v="276.60000000000002"/>
    <x v="41"/>
    <d v="2025-02-15T00:00:00"/>
    <s v="M"/>
    <x v="0"/>
    <x v="0"/>
    <s v="California"/>
    <s v="Alameda County"/>
    <x v="5"/>
    <x v="6"/>
    <x v="1"/>
  </r>
  <r>
    <s v="TX501056"/>
    <x v="8"/>
    <x v="0"/>
    <n v="36.6"/>
    <n v="36.6"/>
    <x v="41"/>
    <d v="2025-02-13T00:00:00"/>
    <s v="M"/>
    <x v="2"/>
    <x v="2"/>
    <s v="California"/>
    <s v="Alameda County"/>
    <x v="1"/>
    <x v="6"/>
    <x v="1"/>
  </r>
  <r>
    <s v="TX501057"/>
    <x v="9"/>
    <x v="1"/>
    <n v="50.6"/>
    <n v="101.2"/>
    <x v="41"/>
    <d v="2025-02-14T00:00:00"/>
    <s v="F"/>
    <x v="0"/>
    <x v="0"/>
    <s v="California"/>
    <s v="Fresno County"/>
    <x v="2"/>
    <x v="6"/>
    <x v="2"/>
  </r>
  <r>
    <s v="TX501058"/>
    <x v="18"/>
    <x v="3"/>
    <n v="56.7"/>
    <n v="396.90000000000003"/>
    <x v="41"/>
    <d v="2025-02-14T00:00:00"/>
    <s v="F"/>
    <x v="0"/>
    <x v="0"/>
    <s v="California"/>
    <s v="Fresno County"/>
    <x v="2"/>
    <x v="6"/>
    <x v="2"/>
  </r>
  <r>
    <s v="TX501059"/>
    <x v="9"/>
    <x v="15"/>
    <n v="22.9"/>
    <n v="297.7"/>
    <x v="41"/>
    <d v="2025-02-12T00:00:00"/>
    <s v="F"/>
    <x v="0"/>
    <x v="1"/>
    <s v="California"/>
    <s v="Humboldt County"/>
    <x v="3"/>
    <x v="6"/>
    <x v="2"/>
  </r>
  <r>
    <s v="TX501060"/>
    <x v="15"/>
    <x v="10"/>
    <n v="53.6"/>
    <n v="1018.4"/>
    <x v="41"/>
    <d v="2025-02-12T00:00:00"/>
    <s v="M"/>
    <x v="0"/>
    <x v="0"/>
    <s v="California"/>
    <s v="Kern County"/>
    <x v="3"/>
    <x v="6"/>
    <x v="1"/>
  </r>
  <r>
    <s v="TX501061"/>
    <x v="18"/>
    <x v="1"/>
    <n v="30.2"/>
    <n v="60.4"/>
    <x v="41"/>
    <d v="2025-02-13T00:00:00"/>
    <s v=""/>
    <x v="2"/>
    <x v="2"/>
    <s v="California"/>
    <s v="Los Angeles County"/>
    <x v="1"/>
    <x v="6"/>
    <x v="0"/>
  </r>
  <r>
    <s v="TX501062"/>
    <x v="15"/>
    <x v="13"/>
    <n v="83.4"/>
    <n v="500.40000000000003"/>
    <x v="41"/>
    <d v="2025-02-12T00:00:00"/>
    <s v="M"/>
    <x v="1"/>
    <x v="2"/>
    <s v="California"/>
    <s v="Los Angeles County"/>
    <x v="3"/>
    <x v="6"/>
    <x v="1"/>
  </r>
  <r>
    <s v="TX501063"/>
    <x v="13"/>
    <x v="4"/>
    <n v="16.600000000000001"/>
    <n v="199.20000000000002"/>
    <x v="41"/>
    <d v="2025-02-13T00:00:00"/>
    <s v="M"/>
    <x v="1"/>
    <x v="0"/>
    <s v="California"/>
    <s v="Los Angeles County"/>
    <x v="1"/>
    <x v="6"/>
    <x v="1"/>
  </r>
  <r>
    <s v="TX501064"/>
    <x v="8"/>
    <x v="14"/>
    <n v="21.9"/>
    <n v="372.29999999999995"/>
    <x v="41"/>
    <d v="2025-02-13T00:00:00"/>
    <s v="F"/>
    <x v="4"/>
    <x v="1"/>
    <s v="California"/>
    <s v="Los Angeles County"/>
    <x v="1"/>
    <x v="6"/>
    <x v="2"/>
  </r>
  <r>
    <s v="TX501065"/>
    <x v="8"/>
    <x v="31"/>
    <n v="33.799999999999997"/>
    <n v="946.39999999999986"/>
    <x v="41"/>
    <d v="2025-02-13T00:00:00"/>
    <s v="M"/>
    <x v="2"/>
    <x v="4"/>
    <s v="California"/>
    <s v="Los Angeles County"/>
    <x v="1"/>
    <x v="6"/>
    <x v="1"/>
  </r>
  <r>
    <s v="TX501066"/>
    <x v="18"/>
    <x v="1"/>
    <n v="53.2"/>
    <n v="106.4"/>
    <x v="41"/>
    <d v="2025-02-11T00:00:00"/>
    <s v="M"/>
    <x v="1"/>
    <x v="0"/>
    <s v="California"/>
    <s v="Los Angeles County"/>
    <x v="7"/>
    <x v="6"/>
    <x v="1"/>
  </r>
  <r>
    <s v="TX501067"/>
    <x v="2"/>
    <x v="1"/>
    <n v="176.7"/>
    <n v="353.4"/>
    <x v="41"/>
    <d v="2025-02-14T00:00:00"/>
    <s v="F"/>
    <x v="2"/>
    <x v="0"/>
    <s v="California"/>
    <s v="Los Angeles County"/>
    <x v="2"/>
    <x v="6"/>
    <x v="2"/>
  </r>
  <r>
    <s v="TX501068"/>
    <x v="12"/>
    <x v="2"/>
    <n v="54"/>
    <n v="162"/>
    <x v="41"/>
    <d v="2025-02-14T00:00:00"/>
    <s v="M"/>
    <x v="0"/>
    <x v="1"/>
    <s v="California"/>
    <s v="Los Angeles County"/>
    <x v="2"/>
    <x v="6"/>
    <x v="1"/>
  </r>
  <r>
    <s v="TX501069"/>
    <x v="9"/>
    <x v="1"/>
    <n v="70.099999999999994"/>
    <n v="140.19999999999999"/>
    <x v="41"/>
    <d v="2025-02-19T00:00:00"/>
    <s v="F"/>
    <x v="3"/>
    <x v="2"/>
    <s v="California"/>
    <s v="Los Angeles County"/>
    <x v="9"/>
    <x v="6"/>
    <x v="2"/>
  </r>
  <r>
    <s v="TX501070"/>
    <x v="8"/>
    <x v="0"/>
    <n v="26.5"/>
    <n v="26.5"/>
    <x v="41"/>
    <d v="2025-02-13T00:00:00"/>
    <s v="F"/>
    <x v="1"/>
    <x v="0"/>
    <s v="California"/>
    <s v="Los Angeles County"/>
    <x v="1"/>
    <x v="6"/>
    <x v="2"/>
  </r>
  <r>
    <s v="TX501071"/>
    <x v="7"/>
    <x v="9"/>
    <n v="89"/>
    <n v="445"/>
    <x v="41"/>
    <d v="2025-02-13T00:00:00"/>
    <s v="M"/>
    <x v="2"/>
    <x v="4"/>
    <s v="California"/>
    <s v="Los Angeles County"/>
    <x v="1"/>
    <x v="6"/>
    <x v="1"/>
  </r>
  <r>
    <s v="TX501072"/>
    <x v="1"/>
    <x v="13"/>
    <n v="47"/>
    <n v="282"/>
    <x v="41"/>
    <d v="2025-02-14T00:00:00"/>
    <s v="F"/>
    <x v="3"/>
    <x v="0"/>
    <s v="California"/>
    <s v="Merced County"/>
    <x v="2"/>
    <x v="6"/>
    <x v="2"/>
  </r>
  <r>
    <s v="TX501073"/>
    <x v="3"/>
    <x v="1"/>
    <n v="55.2"/>
    <n v="110.4"/>
    <x v="41"/>
    <d v="2025-02-14T00:00:00"/>
    <s v="M"/>
    <x v="1"/>
    <x v="1"/>
    <s v="California"/>
    <s v="Sacramento County"/>
    <x v="2"/>
    <x v="6"/>
    <x v="1"/>
  </r>
  <r>
    <s v="TX501074"/>
    <x v="8"/>
    <x v="39"/>
    <n v="33.299999999999997"/>
    <n v="1398.6"/>
    <x v="41"/>
    <d v="2025-02-25T00:00:00"/>
    <s v="M"/>
    <x v="1"/>
    <x v="2"/>
    <s v="California"/>
    <s v="Sacramento County"/>
    <x v="12"/>
    <x v="6"/>
    <x v="1"/>
  </r>
  <r>
    <s v="TX501075"/>
    <x v="2"/>
    <x v="12"/>
    <n v="110.9"/>
    <n v="443.6"/>
    <x v="42"/>
    <d v="2025-02-12T00:00:00"/>
    <s v="M"/>
    <x v="2"/>
    <x v="4"/>
    <s v="California"/>
    <s v="Sacramento County"/>
    <x v="7"/>
    <x v="6"/>
    <x v="1"/>
  </r>
  <r>
    <s v="TX501076"/>
    <x v="2"/>
    <x v="13"/>
    <n v="67.3"/>
    <n v="403.79999999999995"/>
    <x v="42"/>
    <d v="2025-02-13T00:00:00"/>
    <s v="M"/>
    <x v="0"/>
    <x v="0"/>
    <s v="California"/>
    <s v="San Diego County"/>
    <x v="3"/>
    <x v="6"/>
    <x v="1"/>
  </r>
  <r>
    <s v="TX501077"/>
    <x v="6"/>
    <x v="2"/>
    <n v="69.7"/>
    <n v="209.10000000000002"/>
    <x v="42"/>
    <d v="2025-02-13T00:00:00"/>
    <s v="M"/>
    <x v="2"/>
    <x v="1"/>
    <s v="California"/>
    <s v="San Diego County"/>
    <x v="3"/>
    <x v="6"/>
    <x v="1"/>
  </r>
  <r>
    <s v="TX501078"/>
    <x v="5"/>
    <x v="0"/>
    <n v="39.1"/>
    <n v="39.1"/>
    <x v="42"/>
    <d v="2025-02-17T00:00:00"/>
    <s v="M"/>
    <x v="0"/>
    <x v="1"/>
    <s v="California"/>
    <s v="San Francisco"/>
    <x v="0"/>
    <x v="6"/>
    <x v="1"/>
  </r>
  <r>
    <s v="TX501079"/>
    <x v="2"/>
    <x v="2"/>
    <n v="208.6"/>
    <n v="625.79999999999995"/>
    <x v="42"/>
    <d v="2025-02-12T00:00:00"/>
    <s v="M"/>
    <x v="4"/>
    <x v="2"/>
    <s v="California"/>
    <s v="San Francisco"/>
    <x v="7"/>
    <x v="6"/>
    <x v="1"/>
  </r>
  <r>
    <s v="TX501080"/>
    <x v="15"/>
    <x v="2"/>
    <n v="27.8"/>
    <n v="83.4"/>
    <x v="42"/>
    <d v="2025-02-13T00:00:00"/>
    <s v="M"/>
    <x v="3"/>
    <x v="1"/>
    <s v="California"/>
    <s v="Santa Clara County"/>
    <x v="3"/>
    <x v="6"/>
    <x v="1"/>
  </r>
  <r>
    <s v="TX501081"/>
    <x v="10"/>
    <x v="9"/>
    <n v="29.4"/>
    <n v="147"/>
    <x v="42"/>
    <d v="2025-02-14T00:00:00"/>
    <s v="F"/>
    <x v="0"/>
    <x v="0"/>
    <s v="California"/>
    <s v="Santa Clara County"/>
    <x v="1"/>
    <x v="6"/>
    <x v="2"/>
  </r>
  <r>
    <s v="TX501082"/>
    <x v="9"/>
    <x v="1"/>
    <n v="29.2"/>
    <n v="58.4"/>
    <x v="42"/>
    <d v="2025-02-14T00:00:00"/>
    <s v="F"/>
    <x v="1"/>
    <x v="2"/>
    <s v="California"/>
    <s v="Tulare County"/>
    <x v="1"/>
    <x v="6"/>
    <x v="2"/>
  </r>
  <r>
    <s v="TX501083"/>
    <x v="10"/>
    <x v="9"/>
    <n v="26.5"/>
    <n v="132.5"/>
    <x v="42"/>
    <d v="2025-02-14T00:00:00"/>
    <s v="F"/>
    <x v="0"/>
    <x v="0"/>
    <s v="California"/>
    <s v="Tuolumne County"/>
    <x v="1"/>
    <x v="6"/>
    <x v="2"/>
  </r>
  <r>
    <s v="TX501084"/>
    <x v="5"/>
    <x v="0"/>
    <n v="30.3"/>
    <n v="30.3"/>
    <x v="42"/>
    <d v="2025-02-13T00:00:00"/>
    <s v="F"/>
    <x v="4"/>
    <x v="1"/>
    <s v="California"/>
    <s v="Ventura County"/>
    <x v="3"/>
    <x v="6"/>
    <x v="2"/>
  </r>
  <r>
    <s v="TX501085"/>
    <x v="16"/>
    <x v="4"/>
    <n v="39.700000000000003"/>
    <n v="476.40000000000003"/>
    <x v="42"/>
    <d v="2025-02-13T00:00:00"/>
    <s v="F"/>
    <x v="0"/>
    <x v="0"/>
    <s v="California"/>
    <s v="Alameda County"/>
    <x v="3"/>
    <x v="6"/>
    <x v="2"/>
  </r>
  <r>
    <s v="TX501086"/>
    <x v="7"/>
    <x v="7"/>
    <n v="58.9"/>
    <n v="589"/>
    <x v="42"/>
    <d v="2025-02-14T00:00:00"/>
    <s v="F"/>
    <x v="1"/>
    <x v="4"/>
    <s v="California"/>
    <s v="Alameda County"/>
    <x v="1"/>
    <x v="6"/>
    <x v="2"/>
  </r>
  <r>
    <s v="TX501087"/>
    <x v="2"/>
    <x v="1"/>
    <n v="174.1"/>
    <n v="348.2"/>
    <x v="42"/>
    <d v="2025-02-14T00:00:00"/>
    <s v="F"/>
    <x v="0"/>
    <x v="1"/>
    <s v="California"/>
    <s v="Amador County"/>
    <x v="1"/>
    <x v="6"/>
    <x v="2"/>
  </r>
  <r>
    <s v="TX501088"/>
    <x v="6"/>
    <x v="1"/>
    <n v="70.8"/>
    <n v="141.6"/>
    <x v="42"/>
    <d v="2025-02-15T00:00:00"/>
    <s v="M"/>
    <x v="2"/>
    <x v="0"/>
    <s v="California"/>
    <s v="Kern County"/>
    <x v="2"/>
    <x v="6"/>
    <x v="1"/>
  </r>
  <r>
    <s v="TX501089"/>
    <x v="7"/>
    <x v="1"/>
    <n v="57.4"/>
    <n v="114.8"/>
    <x v="42"/>
    <d v="2025-02-14T00:00:00"/>
    <s v="F"/>
    <x v="1"/>
    <x v="1"/>
    <s v="California"/>
    <s v="Kings County"/>
    <x v="1"/>
    <x v="6"/>
    <x v="2"/>
  </r>
  <r>
    <s v="TX501090"/>
    <x v="0"/>
    <x v="1"/>
    <n v="28.5"/>
    <n v="57"/>
    <x v="42"/>
    <d v="2025-02-14T00:00:00"/>
    <s v="M"/>
    <x v="3"/>
    <x v="1"/>
    <s v="California"/>
    <s v="Los Angeles County"/>
    <x v="1"/>
    <x v="6"/>
    <x v="1"/>
  </r>
  <r>
    <s v="TX501091"/>
    <x v="2"/>
    <x v="28"/>
    <n v="106.6"/>
    <n v="2132"/>
    <x v="42"/>
    <d v="2025-02-13T00:00:00"/>
    <s v=""/>
    <x v="1"/>
    <x v="4"/>
    <s v="California"/>
    <s v="Los Angeles County"/>
    <x v="3"/>
    <x v="6"/>
    <x v="0"/>
  </r>
  <r>
    <s v="TX501092"/>
    <x v="2"/>
    <x v="2"/>
    <n v="119.7"/>
    <n v="359.1"/>
    <x v="42"/>
    <d v="2025-02-13T00:00:00"/>
    <s v="F"/>
    <x v="1"/>
    <x v="4"/>
    <s v="California"/>
    <s v="Los Angeles County"/>
    <x v="3"/>
    <x v="6"/>
    <x v="2"/>
  </r>
  <r>
    <s v="TX501093"/>
    <x v="18"/>
    <x v="0"/>
    <n v="73.3"/>
    <n v="73.3"/>
    <x v="42"/>
    <d v="2025-02-17T00:00:00"/>
    <s v="F"/>
    <x v="0"/>
    <x v="2"/>
    <s v="California"/>
    <s v="Los Angeles County"/>
    <x v="0"/>
    <x v="6"/>
    <x v="2"/>
  </r>
  <r>
    <s v="TX501094"/>
    <x v="0"/>
    <x v="1"/>
    <n v="25.8"/>
    <n v="51.6"/>
    <x v="42"/>
    <d v="2025-02-26T00:00:00"/>
    <s v="M"/>
    <x v="2"/>
    <x v="0"/>
    <s v="California"/>
    <s v="Los Angeles County"/>
    <x v="12"/>
    <x v="6"/>
    <x v="1"/>
  </r>
  <r>
    <s v="TX501095"/>
    <x v="17"/>
    <x v="2"/>
    <n v="49.1"/>
    <n v="147.30000000000001"/>
    <x v="42"/>
    <d v="2025-02-14T00:00:00"/>
    <s v="F"/>
    <x v="0"/>
    <x v="0"/>
    <s v="California"/>
    <s v="Merced County"/>
    <x v="1"/>
    <x v="6"/>
    <x v="2"/>
  </r>
  <r>
    <s v="TX501096"/>
    <x v="1"/>
    <x v="0"/>
    <n v="44.9"/>
    <n v="44.9"/>
    <x v="42"/>
    <d v="2025-02-15T00:00:00"/>
    <s v="F"/>
    <x v="3"/>
    <x v="2"/>
    <s v="California"/>
    <s v="Sacramento County"/>
    <x v="2"/>
    <x v="6"/>
    <x v="2"/>
  </r>
  <r>
    <s v="TX501097"/>
    <x v="15"/>
    <x v="3"/>
    <n v="29.9"/>
    <n v="209.29999999999998"/>
    <x v="42"/>
    <d v="2025-02-13T00:00:00"/>
    <s v="F"/>
    <x v="0"/>
    <x v="0"/>
    <s v="California"/>
    <s v="Sacramento County"/>
    <x v="3"/>
    <x v="6"/>
    <x v="2"/>
  </r>
  <r>
    <s v="TX501098"/>
    <x v="7"/>
    <x v="1"/>
    <n v="54.3"/>
    <n v="108.6"/>
    <x v="43"/>
    <d v="2025-02-14T00:00:00"/>
    <s v="M"/>
    <x v="3"/>
    <x v="0"/>
    <s v="California"/>
    <s v="San Benito County"/>
    <x v="3"/>
    <x v="6"/>
    <x v="1"/>
  </r>
  <r>
    <s v="TX501099"/>
    <x v="9"/>
    <x v="12"/>
    <n v="57"/>
    <n v="228"/>
    <x v="43"/>
    <d v="2025-02-15T00:00:00"/>
    <s v="F"/>
    <x v="0"/>
    <x v="0"/>
    <s v="California"/>
    <s v="San Diego County"/>
    <x v="1"/>
    <x v="6"/>
    <x v="2"/>
  </r>
  <r>
    <s v="TX501100"/>
    <x v="2"/>
    <x v="0"/>
    <n v="139.19999999999999"/>
    <n v="139.19999999999999"/>
    <x v="43"/>
    <d v="2025-02-14T00:00:00"/>
    <s v="F"/>
    <x v="3"/>
    <x v="2"/>
    <s v="California"/>
    <s v="San Diego County"/>
    <x v="3"/>
    <x v="6"/>
    <x v="2"/>
  </r>
  <r>
    <s v="TX501101"/>
    <x v="10"/>
    <x v="0"/>
    <n v="33"/>
    <n v="33"/>
    <x v="43"/>
    <d v="2025-02-16T00:00:00"/>
    <s v="F"/>
    <x v="0"/>
    <x v="2"/>
    <s v="California"/>
    <s v="San Diego County"/>
    <x v="2"/>
    <x v="6"/>
    <x v="2"/>
  </r>
  <r>
    <s v="TX501102"/>
    <x v="11"/>
    <x v="13"/>
    <n v="80.2"/>
    <n v="481.20000000000005"/>
    <x v="43"/>
    <d v="2025-02-15T00:00:00"/>
    <s v="M"/>
    <x v="1"/>
    <x v="4"/>
    <s v="California"/>
    <s v="San Diego County"/>
    <x v="1"/>
    <x v="6"/>
    <x v="1"/>
  </r>
  <r>
    <s v="TX501103"/>
    <x v="18"/>
    <x v="8"/>
    <n v="49"/>
    <n v="392"/>
    <x v="43"/>
    <d v="2025-02-14T00:00:00"/>
    <s v=""/>
    <x v="2"/>
    <x v="1"/>
    <s v="California"/>
    <s v="San Mateo County"/>
    <x v="3"/>
    <x v="6"/>
    <x v="0"/>
  </r>
  <r>
    <s v="TX501104"/>
    <x v="1"/>
    <x v="12"/>
    <n v="104.4"/>
    <n v="417.6"/>
    <x v="43"/>
    <d v="2025-02-13T00:00:00"/>
    <s v="F"/>
    <x v="0"/>
    <x v="0"/>
    <s v="California"/>
    <s v="San Mateo County"/>
    <x v="7"/>
    <x v="6"/>
    <x v="2"/>
  </r>
  <r>
    <s v="TX501105"/>
    <x v="3"/>
    <x v="0"/>
    <n v="41.6"/>
    <n v="41.6"/>
    <x v="43"/>
    <d v="2025-02-16T00:00:00"/>
    <s v="M"/>
    <x v="3"/>
    <x v="0"/>
    <s v="California"/>
    <s v="Santa Clara County"/>
    <x v="2"/>
    <x v="6"/>
    <x v="1"/>
  </r>
  <r>
    <s v="TX501106"/>
    <x v="19"/>
    <x v="1"/>
    <n v="16.399999999999999"/>
    <n v="32.799999999999997"/>
    <x v="43"/>
    <d v="2025-02-14T00:00:00"/>
    <s v="O"/>
    <x v="0"/>
    <x v="2"/>
    <s v="California"/>
    <s v="Santa Clara County"/>
    <x v="3"/>
    <x v="6"/>
    <x v="3"/>
  </r>
  <r>
    <s v="TX501107"/>
    <x v="8"/>
    <x v="1"/>
    <n v="22"/>
    <n v="44"/>
    <x v="43"/>
    <d v="2025-02-14T00:00:00"/>
    <s v="M"/>
    <x v="2"/>
    <x v="2"/>
    <s v="California"/>
    <s v="Shasta County"/>
    <x v="3"/>
    <x v="6"/>
    <x v="1"/>
  </r>
  <r>
    <s v="TX501108"/>
    <x v="15"/>
    <x v="1"/>
    <n v="33.6"/>
    <n v="67.2"/>
    <x v="43"/>
    <d v="2025-02-18T00:00:00"/>
    <s v="F"/>
    <x v="0"/>
    <x v="0"/>
    <s v="California"/>
    <s v="Alameda County"/>
    <x v="0"/>
    <x v="6"/>
    <x v="2"/>
  </r>
  <r>
    <s v="TX501109"/>
    <x v="11"/>
    <x v="13"/>
    <n v="43"/>
    <n v="258"/>
    <x v="43"/>
    <d v="2025-02-14T00:00:00"/>
    <s v="F"/>
    <x v="2"/>
    <x v="0"/>
    <s v="California"/>
    <s v="Alameda County"/>
    <x v="3"/>
    <x v="6"/>
    <x v="2"/>
  </r>
  <r>
    <s v="TX501110"/>
    <x v="6"/>
    <x v="9"/>
    <n v="108.8"/>
    <n v="544"/>
    <x v="43"/>
    <d v="2025-02-16T00:00:00"/>
    <s v="F"/>
    <x v="4"/>
    <x v="2"/>
    <s v="California"/>
    <s v="Alameda County"/>
    <x v="2"/>
    <x v="6"/>
    <x v="2"/>
  </r>
  <r>
    <s v="TX501111"/>
    <x v="0"/>
    <x v="11"/>
    <n v="29.3"/>
    <n v="263.7"/>
    <x v="43"/>
    <d v="2025-02-15T00:00:00"/>
    <s v="M"/>
    <x v="4"/>
    <x v="2"/>
    <s v="California"/>
    <s v="Alameda County"/>
    <x v="1"/>
    <x v="6"/>
    <x v="1"/>
  </r>
  <r>
    <s v="TX501112"/>
    <x v="2"/>
    <x v="0"/>
    <n v="122.7"/>
    <n v="122.7"/>
    <x v="43"/>
    <d v="2025-02-16T00:00:00"/>
    <s v="O"/>
    <x v="0"/>
    <x v="2"/>
    <s v="California"/>
    <s v="Contra Costa County"/>
    <x v="2"/>
    <x v="6"/>
    <x v="3"/>
  </r>
  <r>
    <s v="TX501113"/>
    <x v="4"/>
    <x v="3"/>
    <n v="22.9"/>
    <n v="160.29999999999998"/>
    <x v="43"/>
    <d v="2025-02-14T00:00:00"/>
    <s v="F"/>
    <x v="0"/>
    <x v="0"/>
    <s v="California"/>
    <s v="El Dorado County"/>
    <x v="3"/>
    <x v="6"/>
    <x v="2"/>
  </r>
  <r>
    <s v="TX501114"/>
    <x v="8"/>
    <x v="7"/>
    <n v="25.5"/>
    <n v="255"/>
    <x v="43"/>
    <d v="2025-02-20T00:00:00"/>
    <s v="F"/>
    <x v="0"/>
    <x v="0"/>
    <s v="California"/>
    <s v="Imperial County"/>
    <x v="6"/>
    <x v="6"/>
    <x v="2"/>
  </r>
  <r>
    <s v="TX501115"/>
    <x v="17"/>
    <x v="2"/>
    <n v="23.4"/>
    <n v="70.199999999999989"/>
    <x v="43"/>
    <d v="2025-02-17T00:00:00"/>
    <s v="F"/>
    <x v="0"/>
    <x v="2"/>
    <s v="California"/>
    <s v="Los Angeles County"/>
    <x v="5"/>
    <x v="6"/>
    <x v="2"/>
  </r>
  <r>
    <s v="TX501116"/>
    <x v="5"/>
    <x v="8"/>
    <n v="27.4"/>
    <n v="219.2"/>
    <x v="43"/>
    <d v="2025-02-16T00:00:00"/>
    <s v="F"/>
    <x v="2"/>
    <x v="0"/>
    <s v="California"/>
    <s v="Los Angeles County"/>
    <x v="2"/>
    <x v="6"/>
    <x v="2"/>
  </r>
  <r>
    <s v="TX501117"/>
    <x v="5"/>
    <x v="9"/>
    <n v="68.400000000000006"/>
    <n v="342"/>
    <x v="43"/>
    <d v="2025-02-14T00:00:00"/>
    <s v="F"/>
    <x v="0"/>
    <x v="0"/>
    <s v="California"/>
    <s v="Los Angeles County"/>
    <x v="3"/>
    <x v="6"/>
    <x v="2"/>
  </r>
  <r>
    <s v="TX501118"/>
    <x v="6"/>
    <x v="0"/>
    <n v="51.9"/>
    <n v="51.9"/>
    <x v="43"/>
    <d v="2025-02-13T00:00:00"/>
    <s v="F"/>
    <x v="0"/>
    <x v="0"/>
    <s v="California"/>
    <s v="Los Angeles County"/>
    <x v="7"/>
    <x v="6"/>
    <x v="2"/>
  </r>
  <r>
    <s v="TX501119"/>
    <x v="0"/>
    <x v="9"/>
    <n v="26.4"/>
    <n v="132"/>
    <x v="43"/>
    <d v="2025-02-16T00:00:00"/>
    <s v="F"/>
    <x v="0"/>
    <x v="2"/>
    <s v="California"/>
    <s v="Los Angeles County"/>
    <x v="2"/>
    <x v="6"/>
    <x v="2"/>
  </r>
  <r>
    <s v="TX501120"/>
    <x v="12"/>
    <x v="1"/>
    <n v="117"/>
    <n v="234"/>
    <x v="43"/>
    <d v="2025-02-14T00:00:00"/>
    <s v="F"/>
    <x v="1"/>
    <x v="1"/>
    <s v="California"/>
    <s v="Los Angeles County"/>
    <x v="3"/>
    <x v="6"/>
    <x v="2"/>
  </r>
  <r>
    <s v="TX501121"/>
    <x v="7"/>
    <x v="2"/>
    <n v="49.6"/>
    <n v="148.80000000000001"/>
    <x v="44"/>
    <d v="2025-02-16T00:00:00"/>
    <s v="F"/>
    <x v="0"/>
    <x v="0"/>
    <s v="California"/>
    <s v="Los Angeles County"/>
    <x v="1"/>
    <x v="6"/>
    <x v="2"/>
  </r>
  <r>
    <s v="TX501122"/>
    <x v="4"/>
    <x v="2"/>
    <n v="38"/>
    <n v="114"/>
    <x v="44"/>
    <d v="2025-02-17T00:00:00"/>
    <s v="M"/>
    <x v="2"/>
    <x v="4"/>
    <s v="California"/>
    <s v="Los Angeles County"/>
    <x v="2"/>
    <x v="6"/>
    <x v="1"/>
  </r>
  <r>
    <s v="TX501123"/>
    <x v="0"/>
    <x v="2"/>
    <n v="20.6"/>
    <n v="61.800000000000004"/>
    <x v="44"/>
    <d v="2025-02-16T00:00:00"/>
    <s v="F"/>
    <x v="4"/>
    <x v="2"/>
    <s v="California"/>
    <s v="Los Angeles County"/>
    <x v="1"/>
    <x v="6"/>
    <x v="2"/>
  </r>
  <r>
    <s v="TX501124"/>
    <x v="0"/>
    <x v="1"/>
    <n v="16"/>
    <n v="32"/>
    <x v="44"/>
    <d v="2025-02-15T00:00:00"/>
    <s v="M"/>
    <x v="1"/>
    <x v="1"/>
    <s v="California"/>
    <s v="Monterey County"/>
    <x v="3"/>
    <x v="6"/>
    <x v="1"/>
  </r>
  <r>
    <s v="TX501125"/>
    <x v="15"/>
    <x v="12"/>
    <n v="49.3"/>
    <n v="197.2"/>
    <x v="44"/>
    <d v="2025-02-15T00:00:00"/>
    <s v="F"/>
    <x v="2"/>
    <x v="0"/>
    <s v="California"/>
    <s v="Riverside County"/>
    <x v="3"/>
    <x v="6"/>
    <x v="2"/>
  </r>
  <r>
    <s v="TX501126"/>
    <x v="9"/>
    <x v="1"/>
    <n v="24.1"/>
    <n v="48.2"/>
    <x v="44"/>
    <d v="2025-02-18T00:00:00"/>
    <s v="F"/>
    <x v="0"/>
    <x v="0"/>
    <s v="California"/>
    <s v="Sacramento County"/>
    <x v="5"/>
    <x v="6"/>
    <x v="2"/>
  </r>
  <r>
    <s v="TX501127"/>
    <x v="15"/>
    <x v="8"/>
    <n v="32.700000000000003"/>
    <n v="261.60000000000002"/>
    <x v="44"/>
    <d v="2025-02-15T00:00:00"/>
    <s v="F"/>
    <x v="1"/>
    <x v="0"/>
    <s v="California"/>
    <s v="Sacramento County"/>
    <x v="3"/>
    <x v="6"/>
    <x v="2"/>
  </r>
  <r>
    <s v="TX501128"/>
    <x v="6"/>
    <x v="2"/>
    <n v="74.400000000000006"/>
    <n v="223.20000000000002"/>
    <x v="44"/>
    <d v="2025-02-15T00:00:00"/>
    <s v="F"/>
    <x v="3"/>
    <x v="2"/>
    <s v="California"/>
    <s v="San Diego County"/>
    <x v="3"/>
    <x v="6"/>
    <x v="2"/>
  </r>
  <r>
    <s v="TX501129"/>
    <x v="12"/>
    <x v="0"/>
    <n v="45.6"/>
    <n v="45.6"/>
    <x v="44"/>
    <d v="2025-02-18T00:00:00"/>
    <s v="F"/>
    <x v="4"/>
    <x v="0"/>
    <s v="California"/>
    <s v="San Diego County"/>
    <x v="5"/>
    <x v="6"/>
    <x v="2"/>
  </r>
  <r>
    <s v="TX501130"/>
    <x v="8"/>
    <x v="8"/>
    <n v="19.600000000000001"/>
    <n v="156.80000000000001"/>
    <x v="44"/>
    <d v="2025-02-27T00:00:00"/>
    <s v="F"/>
    <x v="0"/>
    <x v="0"/>
    <s v="California"/>
    <s v="San Diego County"/>
    <x v="10"/>
    <x v="6"/>
    <x v="2"/>
  </r>
  <r>
    <s v="TX501131"/>
    <x v="9"/>
    <x v="0"/>
    <n v="51.8"/>
    <n v="51.8"/>
    <x v="44"/>
    <d v="2025-02-15T00:00:00"/>
    <s v="F"/>
    <x v="1"/>
    <x v="0"/>
    <s v="California"/>
    <s v="San Diego County"/>
    <x v="3"/>
    <x v="6"/>
    <x v="2"/>
  </r>
  <r>
    <s v="TX501132"/>
    <x v="6"/>
    <x v="0"/>
    <n v="74.7"/>
    <n v="74.7"/>
    <x v="44"/>
    <d v="2025-02-15T00:00:00"/>
    <s v="M"/>
    <x v="0"/>
    <x v="1"/>
    <s v="California"/>
    <s v="San Diego County"/>
    <x v="3"/>
    <x v="6"/>
    <x v="1"/>
  </r>
  <r>
    <s v="TX501133"/>
    <x v="19"/>
    <x v="2"/>
    <n v="22.4"/>
    <n v="67.199999999999989"/>
    <x v="44"/>
    <d v="2025-02-15T00:00:00"/>
    <s v="F"/>
    <x v="1"/>
    <x v="2"/>
    <s v="California"/>
    <s v="San Mateo County"/>
    <x v="3"/>
    <x v="6"/>
    <x v="2"/>
  </r>
  <r>
    <s v="TX501134"/>
    <x v="1"/>
    <x v="12"/>
    <n v="31.4"/>
    <n v="125.6"/>
    <x v="44"/>
    <d v="2025-02-15T00:00:00"/>
    <s v="F"/>
    <x v="1"/>
    <x v="0"/>
    <s v="California"/>
    <s v="San Mateo County"/>
    <x v="3"/>
    <x v="6"/>
    <x v="2"/>
  </r>
  <r>
    <s v="TX501135"/>
    <x v="6"/>
    <x v="0"/>
    <n v="94"/>
    <n v="94"/>
    <x v="44"/>
    <d v="2025-02-14T00:00:00"/>
    <s v="F"/>
    <x v="1"/>
    <x v="2"/>
    <s v="California"/>
    <s v="Santa Barbara County"/>
    <x v="7"/>
    <x v="6"/>
    <x v="2"/>
  </r>
  <r>
    <s v="TX501136"/>
    <x v="10"/>
    <x v="0"/>
    <n v="22.3"/>
    <n v="22.3"/>
    <x v="44"/>
    <d v="2025-02-15T00:00:00"/>
    <s v="M"/>
    <x v="4"/>
    <x v="0"/>
    <s v="California"/>
    <s v="Tulare County"/>
    <x v="3"/>
    <x v="6"/>
    <x v="1"/>
  </r>
  <r>
    <s v="TX501137"/>
    <x v="0"/>
    <x v="0"/>
    <n v="21.9"/>
    <n v="21.9"/>
    <x v="44"/>
    <d v="2025-02-17T00:00:00"/>
    <s v="F"/>
    <x v="2"/>
    <x v="0"/>
    <s v="California"/>
    <s v="Alameda County"/>
    <x v="2"/>
    <x v="6"/>
    <x v="2"/>
  </r>
  <r>
    <s v="TX501138"/>
    <x v="17"/>
    <x v="2"/>
    <n v="27"/>
    <n v="81"/>
    <x v="44"/>
    <d v="2025-02-16T00:00:00"/>
    <s v="F"/>
    <x v="4"/>
    <x v="2"/>
    <s v="California"/>
    <s v="Fresno County"/>
    <x v="1"/>
    <x v="6"/>
    <x v="2"/>
  </r>
  <r>
    <s v="TX501139"/>
    <x v="2"/>
    <x v="12"/>
    <n v="149.6"/>
    <n v="598.4"/>
    <x v="44"/>
    <d v="2025-02-14T00:00:00"/>
    <s v="F"/>
    <x v="4"/>
    <x v="0"/>
    <s v="California"/>
    <s v="Kern County"/>
    <x v="7"/>
    <x v="6"/>
    <x v="2"/>
  </r>
  <r>
    <s v="TX501140"/>
    <x v="2"/>
    <x v="12"/>
    <n v="129.1"/>
    <n v="516.4"/>
    <x v="44"/>
    <d v="2025-02-24T00:00:00"/>
    <s v="M"/>
    <x v="0"/>
    <x v="1"/>
    <s v="California"/>
    <s v="Los Angeles County"/>
    <x v="14"/>
    <x v="6"/>
    <x v="1"/>
  </r>
  <r>
    <s v="TX501141"/>
    <x v="1"/>
    <x v="4"/>
    <n v="40.4"/>
    <n v="484.79999999999995"/>
    <x v="44"/>
    <d v="2025-02-15T00:00:00"/>
    <s v="M"/>
    <x v="1"/>
    <x v="1"/>
    <s v="California"/>
    <s v="Los Angeles County"/>
    <x v="3"/>
    <x v="6"/>
    <x v="1"/>
  </r>
  <r>
    <s v="TX501142"/>
    <x v="4"/>
    <x v="2"/>
    <n v="48.5"/>
    <n v="145.5"/>
    <x v="44"/>
    <d v="2025-02-16T00:00:00"/>
    <s v="F"/>
    <x v="0"/>
    <x v="4"/>
    <s v="California"/>
    <s v="Los Angeles County"/>
    <x v="1"/>
    <x v="6"/>
    <x v="2"/>
  </r>
  <r>
    <s v="TX501143"/>
    <x v="9"/>
    <x v="1"/>
    <n v="37.6"/>
    <n v="75.2"/>
    <x v="44"/>
    <d v="2025-02-16T00:00:00"/>
    <s v="F"/>
    <x v="1"/>
    <x v="2"/>
    <s v="California"/>
    <s v="Los Angeles County"/>
    <x v="1"/>
    <x v="6"/>
    <x v="2"/>
  </r>
  <r>
    <s v="TX501144"/>
    <x v="8"/>
    <x v="1"/>
    <n v="19.600000000000001"/>
    <n v="39.200000000000003"/>
    <x v="44"/>
    <d v="2025-02-15T00:00:00"/>
    <s v="M"/>
    <x v="3"/>
    <x v="4"/>
    <s v="California"/>
    <s v="Marin County"/>
    <x v="3"/>
    <x v="6"/>
    <x v="1"/>
  </r>
  <r>
    <s v="TX501145"/>
    <x v="8"/>
    <x v="9"/>
    <n v="18.5"/>
    <n v="92.5"/>
    <x v="44"/>
    <d v="2025-02-15T00:00:00"/>
    <s v="F"/>
    <x v="2"/>
    <x v="1"/>
    <s v="California"/>
    <s v="Sacramento County"/>
    <x v="3"/>
    <x v="6"/>
    <x v="2"/>
  </r>
  <r>
    <s v="TX501146"/>
    <x v="5"/>
    <x v="2"/>
    <n v="25.5"/>
    <n v="76.5"/>
    <x v="44"/>
    <d v="2025-02-16T00:00:00"/>
    <s v="F"/>
    <x v="4"/>
    <x v="1"/>
    <s v="California"/>
    <s v="Sacramento County"/>
    <x v="1"/>
    <x v="6"/>
    <x v="2"/>
  </r>
  <r>
    <s v="TX501147"/>
    <x v="2"/>
    <x v="1"/>
    <n v="94.7"/>
    <n v="189.4"/>
    <x v="44"/>
    <d v="2025-02-15T00:00:00"/>
    <s v="F"/>
    <x v="2"/>
    <x v="0"/>
    <s v="California"/>
    <s v="San Benito County"/>
    <x v="3"/>
    <x v="6"/>
    <x v="2"/>
  </r>
  <r>
    <s v="TX501148"/>
    <x v="1"/>
    <x v="13"/>
    <n v="38.799999999999997"/>
    <n v="232.79999999999998"/>
    <x v="44"/>
    <d v="2025-02-19T00:00:00"/>
    <s v="F"/>
    <x v="2"/>
    <x v="2"/>
    <s v="California"/>
    <s v="San Diego County"/>
    <x v="0"/>
    <x v="6"/>
    <x v="2"/>
  </r>
  <r>
    <s v="TX501149"/>
    <x v="9"/>
    <x v="1"/>
    <n v="49.4"/>
    <n v="98.8"/>
    <x v="45"/>
    <d v="2025-02-23T00:00:00"/>
    <s v="M"/>
    <x v="4"/>
    <x v="1"/>
    <s v="California"/>
    <s v="San Diego County"/>
    <x v="9"/>
    <x v="6"/>
    <x v="1"/>
  </r>
  <r>
    <s v="TX501150"/>
    <x v="7"/>
    <x v="2"/>
    <n v="68"/>
    <n v="204"/>
    <x v="45"/>
    <d v="2025-02-18T00:00:00"/>
    <s v="M"/>
    <x v="0"/>
    <x v="2"/>
    <s v="California"/>
    <s v="San Diego County"/>
    <x v="2"/>
    <x v="6"/>
    <x v="1"/>
  </r>
  <r>
    <s v="TX501151"/>
    <x v="15"/>
    <x v="3"/>
    <n v="63.7"/>
    <n v="445.90000000000003"/>
    <x v="45"/>
    <d v="2025-02-16T00:00:00"/>
    <s v="F"/>
    <x v="2"/>
    <x v="2"/>
    <s v="California"/>
    <s v="San Diego County"/>
    <x v="3"/>
    <x v="6"/>
    <x v="2"/>
  </r>
  <r>
    <s v="TX501152"/>
    <x v="10"/>
    <x v="1"/>
    <n v="66.2"/>
    <n v="132.4"/>
    <x v="45"/>
    <d v="2025-02-16T00:00:00"/>
    <s v="F"/>
    <x v="4"/>
    <x v="2"/>
    <s v="California"/>
    <s v="San Francisco"/>
    <x v="3"/>
    <x v="6"/>
    <x v="2"/>
  </r>
  <r>
    <s v="TX501153"/>
    <x v="12"/>
    <x v="2"/>
    <n v="32.299999999999997"/>
    <n v="96.899999999999991"/>
    <x v="45"/>
    <d v="2025-02-16T00:00:00"/>
    <s v="O"/>
    <x v="2"/>
    <x v="1"/>
    <s v="California"/>
    <s v="San Mateo County"/>
    <x v="3"/>
    <x v="6"/>
    <x v="3"/>
  </r>
  <r>
    <s v="TX501154"/>
    <x v="4"/>
    <x v="1"/>
    <n v="66.900000000000006"/>
    <n v="133.80000000000001"/>
    <x v="45"/>
    <d v="2025-02-18T00:00:00"/>
    <s v="M"/>
    <x v="1"/>
    <x v="0"/>
    <s v="California"/>
    <s v="Santa Clara County"/>
    <x v="2"/>
    <x v="6"/>
    <x v="1"/>
  </r>
  <r>
    <s v="TX501155"/>
    <x v="4"/>
    <x v="4"/>
    <n v="25.2"/>
    <n v="302.39999999999998"/>
    <x v="45"/>
    <d v="2025-02-19T00:00:00"/>
    <s v="F"/>
    <x v="0"/>
    <x v="1"/>
    <s v="California"/>
    <s v="Santa Clara County"/>
    <x v="5"/>
    <x v="6"/>
    <x v="2"/>
  </r>
  <r>
    <s v="TX501156"/>
    <x v="10"/>
    <x v="13"/>
    <n v="29.5"/>
    <n v="177"/>
    <x v="45"/>
    <d v="2025-02-16T00:00:00"/>
    <s v="M"/>
    <x v="2"/>
    <x v="0"/>
    <s v="California"/>
    <s v="Santa Clara County"/>
    <x v="3"/>
    <x v="6"/>
    <x v="1"/>
  </r>
  <r>
    <s v="TX501157"/>
    <x v="8"/>
    <x v="9"/>
    <n v="21.6"/>
    <n v="108"/>
    <x v="45"/>
    <d v="2025-02-17T00:00:00"/>
    <s v="F"/>
    <x v="0"/>
    <x v="2"/>
    <s v="California"/>
    <s v="Santa Cruz County"/>
    <x v="1"/>
    <x v="6"/>
    <x v="2"/>
  </r>
  <r>
    <s v="TX501158"/>
    <x v="12"/>
    <x v="2"/>
    <n v="69"/>
    <n v="207"/>
    <x v="45"/>
    <d v="2025-02-16T00:00:00"/>
    <s v="F"/>
    <x v="0"/>
    <x v="0"/>
    <s v="California"/>
    <s v="Sonoma County"/>
    <x v="3"/>
    <x v="6"/>
    <x v="2"/>
  </r>
  <r>
    <s v="TX501159"/>
    <x v="7"/>
    <x v="1"/>
    <n v="115"/>
    <n v="230"/>
    <x v="45"/>
    <d v="2025-02-19T00:00:00"/>
    <s v="M"/>
    <x v="0"/>
    <x v="2"/>
    <s v="California"/>
    <s v="Sonoma County"/>
    <x v="5"/>
    <x v="6"/>
    <x v="1"/>
  </r>
  <r>
    <s v="TX501160"/>
    <x v="2"/>
    <x v="1"/>
    <n v="109.3"/>
    <n v="218.6"/>
    <x v="45"/>
    <d v="2025-02-17T00:00:00"/>
    <s v=""/>
    <x v="3"/>
    <x v="1"/>
    <s v="California"/>
    <s v="Stanislaus County"/>
    <x v="1"/>
    <x v="6"/>
    <x v="0"/>
  </r>
  <r>
    <s v="TX501161"/>
    <x v="9"/>
    <x v="1"/>
    <n v="66.599999999999994"/>
    <n v="133.19999999999999"/>
    <x v="45"/>
    <d v="2025-02-18T00:00:00"/>
    <s v=""/>
    <x v="4"/>
    <x v="1"/>
    <s v="California"/>
    <s v="Stanislaus County"/>
    <x v="2"/>
    <x v="6"/>
    <x v="0"/>
  </r>
  <r>
    <s v="TX501162"/>
    <x v="12"/>
    <x v="9"/>
    <n v="47.7"/>
    <n v="238.5"/>
    <x v="45"/>
    <d v="2025-02-16T00:00:00"/>
    <s v="M"/>
    <x v="3"/>
    <x v="2"/>
    <s v="California"/>
    <s v="Alameda County"/>
    <x v="3"/>
    <x v="6"/>
    <x v="1"/>
  </r>
  <r>
    <s v="TX501163"/>
    <x v="8"/>
    <x v="1"/>
    <n v="46"/>
    <n v="92"/>
    <x v="45"/>
    <d v="2025-02-16T00:00:00"/>
    <s v="F"/>
    <x v="4"/>
    <x v="4"/>
    <s v="California"/>
    <s v="Kern County"/>
    <x v="3"/>
    <x v="6"/>
    <x v="2"/>
  </r>
  <r>
    <s v="TX501164"/>
    <x v="1"/>
    <x v="13"/>
    <n v="39.299999999999997"/>
    <n v="235.79999999999998"/>
    <x v="45"/>
    <d v="2025-02-17T00:00:00"/>
    <s v="M"/>
    <x v="3"/>
    <x v="2"/>
    <s v="California"/>
    <s v="Los Angeles County"/>
    <x v="1"/>
    <x v="6"/>
    <x v="1"/>
  </r>
  <r>
    <s v="TX501165"/>
    <x v="9"/>
    <x v="0"/>
    <n v="70.2"/>
    <n v="70.2"/>
    <x v="45"/>
    <d v="2025-02-16T00:00:00"/>
    <s v="F"/>
    <x v="0"/>
    <x v="4"/>
    <s v="California"/>
    <s v="Los Angeles County"/>
    <x v="3"/>
    <x v="6"/>
    <x v="2"/>
  </r>
  <r>
    <s v="TX501166"/>
    <x v="3"/>
    <x v="12"/>
    <n v="71.5"/>
    <n v="286"/>
    <x v="45"/>
    <d v="2025-02-15T00:00:00"/>
    <s v="F"/>
    <x v="1"/>
    <x v="2"/>
    <s v="California"/>
    <s v="Los Angeles County"/>
    <x v="7"/>
    <x v="6"/>
    <x v="2"/>
  </r>
  <r>
    <s v="TX501167"/>
    <x v="10"/>
    <x v="3"/>
    <n v="31"/>
    <n v="217"/>
    <x v="45"/>
    <d v="2025-02-22T00:00:00"/>
    <s v="F"/>
    <x v="3"/>
    <x v="2"/>
    <s v="California"/>
    <s v="Los Angeles County"/>
    <x v="6"/>
    <x v="6"/>
    <x v="2"/>
  </r>
  <r>
    <s v="TX501168"/>
    <x v="2"/>
    <x v="9"/>
    <n v="68.2"/>
    <n v="341"/>
    <x v="45"/>
    <d v="2025-02-20T00:00:00"/>
    <s v="F"/>
    <x v="0"/>
    <x v="2"/>
    <s v="California"/>
    <s v="Los Angeles County"/>
    <x v="0"/>
    <x v="6"/>
    <x v="2"/>
  </r>
  <r>
    <s v="TX501169"/>
    <x v="2"/>
    <x v="0"/>
    <n v="91.4"/>
    <n v="91.4"/>
    <x v="45"/>
    <d v="2025-02-19T00:00:00"/>
    <s v="F"/>
    <x v="1"/>
    <x v="2"/>
    <s v="California"/>
    <s v="Sacramento County"/>
    <x v="5"/>
    <x v="6"/>
    <x v="2"/>
  </r>
  <r>
    <s v="TX501170"/>
    <x v="6"/>
    <x v="7"/>
    <n v="112.9"/>
    <n v="1129"/>
    <x v="45"/>
    <d v="2025-02-16T00:00:00"/>
    <s v="F"/>
    <x v="0"/>
    <x v="0"/>
    <s v="California"/>
    <s v="Sacramento County"/>
    <x v="3"/>
    <x v="6"/>
    <x v="2"/>
  </r>
  <r>
    <s v="TX501171"/>
    <x v="17"/>
    <x v="11"/>
    <n v="33.700000000000003"/>
    <n v="303.3"/>
    <x v="45"/>
    <d v="2025-02-16T00:00:00"/>
    <s v="F"/>
    <x v="1"/>
    <x v="2"/>
    <s v="California"/>
    <s v="San Diego County"/>
    <x v="3"/>
    <x v="6"/>
    <x v="2"/>
  </r>
  <r>
    <s v="TX501172"/>
    <x v="15"/>
    <x v="7"/>
    <n v="35.299999999999997"/>
    <n v="353"/>
    <x v="45"/>
    <d v="2025-02-17T00:00:00"/>
    <s v="M"/>
    <x v="2"/>
    <x v="0"/>
    <s v="California"/>
    <s v="San Diego County"/>
    <x v="1"/>
    <x v="6"/>
    <x v="1"/>
  </r>
  <r>
    <s v="TX501173"/>
    <x v="18"/>
    <x v="2"/>
    <n v="45.6"/>
    <n v="136.80000000000001"/>
    <x v="45"/>
    <d v="2025-02-19T00:00:00"/>
    <s v="M"/>
    <x v="3"/>
    <x v="0"/>
    <s v="California"/>
    <s v="San Diego County"/>
    <x v="5"/>
    <x v="6"/>
    <x v="1"/>
  </r>
  <r>
    <s v="TX501174"/>
    <x v="7"/>
    <x v="3"/>
    <n v="47.1"/>
    <n v="329.7"/>
    <x v="45"/>
    <d v="2025-02-16T00:00:00"/>
    <s v="F"/>
    <x v="4"/>
    <x v="2"/>
    <s v="California"/>
    <s v="San Mateo County"/>
    <x v="3"/>
    <x v="6"/>
    <x v="2"/>
  </r>
  <r>
    <s v="TX501175"/>
    <x v="8"/>
    <x v="9"/>
    <n v="16.2"/>
    <n v="81"/>
    <x v="45"/>
    <d v="2025-02-17T00:00:00"/>
    <s v="F"/>
    <x v="3"/>
    <x v="2"/>
    <s v="California"/>
    <s v="Stanislaus County"/>
    <x v="1"/>
    <x v="6"/>
    <x v="2"/>
  </r>
  <r>
    <s v="TX501176"/>
    <x v="1"/>
    <x v="1"/>
    <n v="159.69999999999999"/>
    <n v="319.39999999999998"/>
    <x v="46"/>
    <d v="2025-02-17T00:00:00"/>
    <s v="M"/>
    <x v="4"/>
    <x v="0"/>
    <s v="California"/>
    <s v="Ventura County"/>
    <x v="3"/>
    <x v="7"/>
    <x v="1"/>
  </r>
  <r>
    <s v="TX501177"/>
    <x v="8"/>
    <x v="12"/>
    <n v="19"/>
    <n v="76"/>
    <x v="46"/>
    <d v="2025-02-23T00:00:00"/>
    <s v="F"/>
    <x v="2"/>
    <x v="2"/>
    <s v="California"/>
    <s v="Alameda County"/>
    <x v="6"/>
    <x v="7"/>
    <x v="2"/>
  </r>
  <r>
    <s v="TX501178"/>
    <x v="6"/>
    <x v="13"/>
    <n v="91.1"/>
    <n v="546.59999999999991"/>
    <x v="46"/>
    <d v="2025-02-25T00:00:00"/>
    <s v="F"/>
    <x v="4"/>
    <x v="0"/>
    <s v="California"/>
    <s v="Alameda County"/>
    <x v="8"/>
    <x v="7"/>
    <x v="2"/>
  </r>
  <r>
    <s v="TX501179"/>
    <x v="2"/>
    <x v="9"/>
    <n v="94.1"/>
    <n v="470.5"/>
    <x v="46"/>
    <d v="2025-02-19T00:00:00"/>
    <s v=""/>
    <x v="1"/>
    <x v="1"/>
    <s v="California"/>
    <s v="Alameda County"/>
    <x v="2"/>
    <x v="7"/>
    <x v="0"/>
  </r>
  <r>
    <s v="TX501180"/>
    <x v="9"/>
    <x v="11"/>
    <n v="21.1"/>
    <n v="189.9"/>
    <x v="46"/>
    <d v="2025-02-17T00:00:00"/>
    <s v="F"/>
    <x v="4"/>
    <x v="2"/>
    <s v="California"/>
    <s v="Butte County"/>
    <x v="3"/>
    <x v="7"/>
    <x v="2"/>
  </r>
  <r>
    <s v="TX501181"/>
    <x v="8"/>
    <x v="3"/>
    <n v="15.3"/>
    <n v="107.10000000000001"/>
    <x v="46"/>
    <d v="2025-02-24T00:00:00"/>
    <s v="F"/>
    <x v="2"/>
    <x v="0"/>
    <s v="California"/>
    <s v="Contra Costa County"/>
    <x v="9"/>
    <x v="7"/>
    <x v="2"/>
  </r>
  <r>
    <s v="TX501182"/>
    <x v="15"/>
    <x v="12"/>
    <n v="21.3"/>
    <n v="85.2"/>
    <x v="46"/>
    <d v="2025-02-19T00:00:00"/>
    <s v="M"/>
    <x v="1"/>
    <x v="0"/>
    <s v="California"/>
    <s v="Los Angeles County"/>
    <x v="2"/>
    <x v="7"/>
    <x v="1"/>
  </r>
  <r>
    <s v="TX501183"/>
    <x v="0"/>
    <x v="1"/>
    <n v="23.2"/>
    <n v="46.4"/>
    <x v="46"/>
    <d v="2025-02-16T00:00:00"/>
    <s v=""/>
    <x v="3"/>
    <x v="1"/>
    <s v="California"/>
    <s v="Los Angeles County"/>
    <x v="7"/>
    <x v="7"/>
    <x v="0"/>
  </r>
  <r>
    <s v="TX501184"/>
    <x v="4"/>
    <x v="2"/>
    <n v="25.7"/>
    <n v="77.099999999999994"/>
    <x v="46"/>
    <d v="2025-02-17T00:00:00"/>
    <s v="M"/>
    <x v="4"/>
    <x v="0"/>
    <s v="California"/>
    <s v="Los Angeles County"/>
    <x v="3"/>
    <x v="7"/>
    <x v="1"/>
  </r>
  <r>
    <s v="TX501185"/>
    <x v="0"/>
    <x v="11"/>
    <n v="31.6"/>
    <n v="284.40000000000003"/>
    <x v="46"/>
    <d v="2025-02-18T00:00:00"/>
    <s v="F"/>
    <x v="0"/>
    <x v="0"/>
    <s v="California"/>
    <s v="Los Angeles County"/>
    <x v="1"/>
    <x v="7"/>
    <x v="2"/>
  </r>
  <r>
    <s v="TX501186"/>
    <x v="6"/>
    <x v="0"/>
    <n v="64.2"/>
    <n v="64.2"/>
    <x v="46"/>
    <d v="2025-02-21T00:00:00"/>
    <s v="M"/>
    <x v="0"/>
    <x v="0"/>
    <s v="California"/>
    <s v="Los Angeles County"/>
    <x v="0"/>
    <x v="7"/>
    <x v="1"/>
  </r>
  <r>
    <s v="TX501187"/>
    <x v="8"/>
    <x v="1"/>
    <n v="55.8"/>
    <n v="111.6"/>
    <x v="46"/>
    <d v="2025-02-18T00:00:00"/>
    <s v=""/>
    <x v="0"/>
    <x v="0"/>
    <s v="California"/>
    <s v="Los Angeles County"/>
    <x v="1"/>
    <x v="7"/>
    <x v="0"/>
  </r>
  <r>
    <s v="TX501188"/>
    <x v="8"/>
    <x v="1"/>
    <n v="28.1"/>
    <n v="56.2"/>
    <x v="46"/>
    <d v="2025-02-17T00:00:00"/>
    <s v="F"/>
    <x v="4"/>
    <x v="1"/>
    <s v="California"/>
    <s v="Los Angeles County"/>
    <x v="3"/>
    <x v="7"/>
    <x v="2"/>
  </r>
  <r>
    <s v="TX501189"/>
    <x v="0"/>
    <x v="1"/>
    <n v="11.6"/>
    <n v="23.2"/>
    <x v="46"/>
    <d v="2025-02-18T00:00:00"/>
    <s v="F"/>
    <x v="1"/>
    <x v="0"/>
    <s v="California"/>
    <s v="Merced County"/>
    <x v="1"/>
    <x v="7"/>
    <x v="2"/>
  </r>
  <r>
    <s v="TX501190"/>
    <x v="5"/>
    <x v="2"/>
    <n v="50.4"/>
    <n v="151.19999999999999"/>
    <x v="46"/>
    <d v="2025-02-17T00:00:00"/>
    <s v="M"/>
    <x v="4"/>
    <x v="2"/>
    <s v="California"/>
    <s v="Orange County"/>
    <x v="3"/>
    <x v="7"/>
    <x v="1"/>
  </r>
  <r>
    <s v="TX501191"/>
    <x v="6"/>
    <x v="13"/>
    <n v="48.3"/>
    <n v="289.79999999999995"/>
    <x v="46"/>
    <d v="2025-02-20T00:00:00"/>
    <s v="F"/>
    <x v="0"/>
    <x v="0"/>
    <s v="California"/>
    <s v="Orange County"/>
    <x v="5"/>
    <x v="7"/>
    <x v="2"/>
  </r>
  <r>
    <s v="TX501192"/>
    <x v="17"/>
    <x v="3"/>
    <n v="32.200000000000003"/>
    <n v="225.40000000000003"/>
    <x v="46"/>
    <d v="2025-02-18T00:00:00"/>
    <s v="F"/>
    <x v="2"/>
    <x v="0"/>
    <s v="California"/>
    <s v="Orange County"/>
    <x v="1"/>
    <x v="7"/>
    <x v="2"/>
  </r>
  <r>
    <s v="TX501193"/>
    <x v="7"/>
    <x v="31"/>
    <n v="48.5"/>
    <n v="1358"/>
    <x v="46"/>
    <d v="2025-02-17T00:00:00"/>
    <s v="M"/>
    <x v="0"/>
    <x v="0"/>
    <s v="California"/>
    <s v="Placer County"/>
    <x v="3"/>
    <x v="7"/>
    <x v="1"/>
  </r>
  <r>
    <s v="TX501194"/>
    <x v="2"/>
    <x v="9"/>
    <n v="62"/>
    <n v="310"/>
    <x v="46"/>
    <d v="2025-02-19T00:00:00"/>
    <s v="F"/>
    <x v="1"/>
    <x v="0"/>
    <s v="California"/>
    <s v="Sacramento County"/>
    <x v="2"/>
    <x v="7"/>
    <x v="2"/>
  </r>
  <r>
    <s v="TX501195"/>
    <x v="8"/>
    <x v="2"/>
    <n v="32.1"/>
    <n v="96.300000000000011"/>
    <x v="47"/>
    <d v="2025-02-19T00:00:00"/>
    <s v="M"/>
    <x v="0"/>
    <x v="0"/>
    <s v="California"/>
    <s v="Sacramento County"/>
    <x v="1"/>
    <x v="7"/>
    <x v="1"/>
  </r>
  <r>
    <s v="TX501196"/>
    <x v="12"/>
    <x v="2"/>
    <n v="106.1"/>
    <n v="318.29999999999995"/>
    <x v="47"/>
    <d v="2025-02-19T00:00:00"/>
    <s v="M"/>
    <x v="0"/>
    <x v="1"/>
    <s v="California"/>
    <s v="San Bernardino County"/>
    <x v="1"/>
    <x v="7"/>
    <x v="1"/>
  </r>
  <r>
    <s v="TX501197"/>
    <x v="10"/>
    <x v="2"/>
    <n v="23.5"/>
    <n v="70.5"/>
    <x v="47"/>
    <d v="2025-02-20T00:00:00"/>
    <s v="M"/>
    <x v="0"/>
    <x v="4"/>
    <s v="California"/>
    <s v="San Bernardino County"/>
    <x v="2"/>
    <x v="7"/>
    <x v="1"/>
  </r>
  <r>
    <s v="TX501198"/>
    <x v="1"/>
    <x v="1"/>
    <n v="35.6"/>
    <n v="71.2"/>
    <x v="47"/>
    <d v="2025-02-22T00:00:00"/>
    <s v="M"/>
    <x v="4"/>
    <x v="0"/>
    <s v="California"/>
    <s v="San Diego County"/>
    <x v="0"/>
    <x v="7"/>
    <x v="1"/>
  </r>
  <r>
    <s v="TX501199"/>
    <x v="1"/>
    <x v="1"/>
    <n v="63.5"/>
    <n v="127"/>
    <x v="47"/>
    <d v="2025-02-17T00:00:00"/>
    <s v="F"/>
    <x v="1"/>
    <x v="2"/>
    <s v="California"/>
    <s v="San Diego County"/>
    <x v="7"/>
    <x v="7"/>
    <x v="2"/>
  </r>
  <r>
    <s v="TX501200"/>
    <x v="6"/>
    <x v="3"/>
    <n v="82.9"/>
    <n v="580.30000000000007"/>
    <x v="47"/>
    <d v="2025-02-22T00:00:00"/>
    <s v="F"/>
    <x v="4"/>
    <x v="0"/>
    <s v="California"/>
    <s v="San Mateo County"/>
    <x v="0"/>
    <x v="7"/>
    <x v="2"/>
  </r>
  <r>
    <s v="TX501201"/>
    <x v="6"/>
    <x v="1"/>
    <n v="83.6"/>
    <n v="167.2"/>
    <x v="47"/>
    <d v="2025-02-22T00:00:00"/>
    <s v="F"/>
    <x v="0"/>
    <x v="0"/>
    <s v="California"/>
    <s v="Santa Clara County"/>
    <x v="0"/>
    <x v="7"/>
    <x v="2"/>
  </r>
  <r>
    <s v="TX501202"/>
    <x v="4"/>
    <x v="1"/>
    <n v="29.4"/>
    <n v="58.8"/>
    <x v="47"/>
    <d v="2025-02-17T00:00:00"/>
    <s v="F"/>
    <x v="0"/>
    <x v="1"/>
    <s v="California"/>
    <s v="Siskiyou County"/>
    <x v="7"/>
    <x v="7"/>
    <x v="2"/>
  </r>
  <r>
    <s v="TX501203"/>
    <x v="2"/>
    <x v="2"/>
    <n v="107.1"/>
    <n v="321.29999999999995"/>
    <x v="47"/>
    <d v="2025-02-21T00:00:00"/>
    <s v="F"/>
    <x v="2"/>
    <x v="0"/>
    <s v="California"/>
    <s v="Tulare County"/>
    <x v="5"/>
    <x v="7"/>
    <x v="2"/>
  </r>
  <r>
    <s v="TX501204"/>
    <x v="2"/>
    <x v="0"/>
    <n v="62.7"/>
    <n v="62.7"/>
    <x v="47"/>
    <d v="2025-02-21T00:00:00"/>
    <s v="M"/>
    <x v="1"/>
    <x v="0"/>
    <s v="California"/>
    <s v="Alameda County"/>
    <x v="5"/>
    <x v="7"/>
    <x v="1"/>
  </r>
  <r>
    <s v="TX501205"/>
    <x v="11"/>
    <x v="0"/>
    <n v="41.6"/>
    <n v="41.6"/>
    <x v="47"/>
    <d v="2025-02-18T00:00:00"/>
    <s v="M"/>
    <x v="0"/>
    <x v="1"/>
    <s v="California"/>
    <s v="Contra Costa County"/>
    <x v="3"/>
    <x v="7"/>
    <x v="1"/>
  </r>
  <r>
    <s v="TX501206"/>
    <x v="6"/>
    <x v="0"/>
    <n v="44.2"/>
    <n v="44.2"/>
    <x v="47"/>
    <d v="2025-02-18T00:00:00"/>
    <s v="O"/>
    <x v="0"/>
    <x v="1"/>
    <s v="California"/>
    <s v="Contra Costa County"/>
    <x v="3"/>
    <x v="7"/>
    <x v="3"/>
  </r>
  <r>
    <s v="TX501207"/>
    <x v="4"/>
    <x v="13"/>
    <n v="40.4"/>
    <n v="242.39999999999998"/>
    <x v="47"/>
    <d v="2025-03-02T00:00:00"/>
    <s v="F"/>
    <x v="2"/>
    <x v="0"/>
    <s v="California"/>
    <s v="Kern County"/>
    <x v="10"/>
    <x v="7"/>
    <x v="2"/>
  </r>
  <r>
    <s v="TX501208"/>
    <x v="15"/>
    <x v="13"/>
    <n v="59.6"/>
    <n v="357.6"/>
    <x v="47"/>
    <d v="2025-02-18T00:00:00"/>
    <s v="F"/>
    <x v="4"/>
    <x v="0"/>
    <s v="California"/>
    <s v="Kings County"/>
    <x v="3"/>
    <x v="7"/>
    <x v="2"/>
  </r>
  <r>
    <s v="TX501209"/>
    <x v="17"/>
    <x v="4"/>
    <n v="63.8"/>
    <n v="765.59999999999991"/>
    <x v="47"/>
    <d v="2025-02-18T00:00:00"/>
    <s v="M"/>
    <x v="1"/>
    <x v="0"/>
    <s v="California"/>
    <s v="Los Angeles County"/>
    <x v="3"/>
    <x v="7"/>
    <x v="1"/>
  </r>
  <r>
    <s v="TX501210"/>
    <x v="9"/>
    <x v="13"/>
    <n v="30.8"/>
    <n v="184.8"/>
    <x v="47"/>
    <d v="2025-02-19T00:00:00"/>
    <s v="M"/>
    <x v="4"/>
    <x v="0"/>
    <s v="California"/>
    <s v="Los Angeles County"/>
    <x v="1"/>
    <x v="7"/>
    <x v="1"/>
  </r>
  <r>
    <s v="TX501211"/>
    <x v="1"/>
    <x v="1"/>
    <n v="41.5"/>
    <n v="83"/>
    <x v="47"/>
    <d v="2025-02-20T00:00:00"/>
    <s v="O"/>
    <x v="0"/>
    <x v="0"/>
    <s v="California"/>
    <s v="Los Angeles County"/>
    <x v="2"/>
    <x v="7"/>
    <x v="3"/>
  </r>
  <r>
    <s v="TX501212"/>
    <x v="10"/>
    <x v="12"/>
    <n v="44.7"/>
    <n v="178.8"/>
    <x v="47"/>
    <d v="2025-02-19T00:00:00"/>
    <s v="F"/>
    <x v="2"/>
    <x v="1"/>
    <s v="California"/>
    <s v="Los Angeles County"/>
    <x v="1"/>
    <x v="7"/>
    <x v="2"/>
  </r>
  <r>
    <s v="TX501213"/>
    <x v="12"/>
    <x v="1"/>
    <n v="64.099999999999994"/>
    <n v="128.19999999999999"/>
    <x v="47"/>
    <d v="2025-02-21T00:00:00"/>
    <s v="F"/>
    <x v="1"/>
    <x v="4"/>
    <s v="California"/>
    <s v="Los Angeles County"/>
    <x v="5"/>
    <x v="7"/>
    <x v="2"/>
  </r>
  <r>
    <s v="TX501214"/>
    <x v="8"/>
    <x v="0"/>
    <n v="15.9"/>
    <n v="15.9"/>
    <x v="47"/>
    <d v="2025-02-20T00:00:00"/>
    <s v=""/>
    <x v="1"/>
    <x v="0"/>
    <s v="California"/>
    <s v="Los Angeles County"/>
    <x v="2"/>
    <x v="7"/>
    <x v="0"/>
  </r>
  <r>
    <s v="TX501215"/>
    <x v="6"/>
    <x v="1"/>
    <n v="78.7"/>
    <n v="157.4"/>
    <x v="47"/>
    <d v="2025-02-17T00:00:00"/>
    <s v="F"/>
    <x v="2"/>
    <x v="1"/>
    <s v="California"/>
    <s v="Los Angeles County"/>
    <x v="7"/>
    <x v="7"/>
    <x v="2"/>
  </r>
  <r>
    <s v="TX501216"/>
    <x v="5"/>
    <x v="4"/>
    <n v="29.6"/>
    <n v="355.20000000000005"/>
    <x v="47"/>
    <d v="2025-02-21T00:00:00"/>
    <s v="M"/>
    <x v="2"/>
    <x v="4"/>
    <s v="California"/>
    <s v="Los Angeles County"/>
    <x v="5"/>
    <x v="7"/>
    <x v="1"/>
  </r>
  <r>
    <s v="TX501217"/>
    <x v="8"/>
    <x v="12"/>
    <n v="21.5"/>
    <n v="86"/>
    <x v="47"/>
    <d v="2025-02-20T00:00:00"/>
    <s v="M"/>
    <x v="1"/>
    <x v="0"/>
    <s v="California"/>
    <s v="Los Angeles County"/>
    <x v="2"/>
    <x v="7"/>
    <x v="1"/>
  </r>
  <r>
    <s v="TX501218"/>
    <x v="9"/>
    <x v="2"/>
    <n v="74.900000000000006"/>
    <n v="224.70000000000002"/>
    <x v="47"/>
    <d v="2025-02-26T00:00:00"/>
    <s v="M"/>
    <x v="3"/>
    <x v="1"/>
    <s v="California"/>
    <s v="Los Angeles County"/>
    <x v="8"/>
    <x v="7"/>
    <x v="1"/>
  </r>
  <r>
    <s v="TX501219"/>
    <x v="10"/>
    <x v="13"/>
    <n v="45"/>
    <n v="270"/>
    <x v="47"/>
    <d v="2025-02-22T00:00:00"/>
    <s v="F"/>
    <x v="2"/>
    <x v="0"/>
    <s v="California"/>
    <s v="Los Angeles County"/>
    <x v="0"/>
    <x v="7"/>
    <x v="2"/>
  </r>
  <r>
    <s v="TX501220"/>
    <x v="7"/>
    <x v="33"/>
    <n v="37.9"/>
    <n v="1288.5999999999999"/>
    <x v="47"/>
    <d v="2025-02-18T00:00:00"/>
    <s v="M"/>
    <x v="0"/>
    <x v="0"/>
    <s v="California"/>
    <s v="Los Angeles County"/>
    <x v="3"/>
    <x v="7"/>
    <x v="1"/>
  </r>
  <r>
    <s v="TX501221"/>
    <x v="6"/>
    <x v="2"/>
    <n v="56.6"/>
    <n v="169.8"/>
    <x v="47"/>
    <d v="2025-02-18T00:00:00"/>
    <s v="M"/>
    <x v="3"/>
    <x v="0"/>
    <s v="California"/>
    <s v="Los Angeles County"/>
    <x v="3"/>
    <x v="7"/>
    <x v="1"/>
  </r>
  <r>
    <s v="TX501222"/>
    <x v="3"/>
    <x v="15"/>
    <n v="84.5"/>
    <n v="1098.5"/>
    <x v="47"/>
    <d v="2025-02-20T00:00:00"/>
    <s v="F"/>
    <x v="1"/>
    <x v="4"/>
    <s v="California"/>
    <s v="Los Angeles County"/>
    <x v="2"/>
    <x v="7"/>
    <x v="2"/>
  </r>
  <r>
    <s v="TX501223"/>
    <x v="2"/>
    <x v="9"/>
    <n v="105.4"/>
    <n v="527"/>
    <x v="47"/>
    <d v="2025-02-19T00:00:00"/>
    <s v="F"/>
    <x v="1"/>
    <x v="1"/>
    <s v="California"/>
    <s v="Los Angeles County"/>
    <x v="1"/>
    <x v="7"/>
    <x v="2"/>
  </r>
  <r>
    <s v="TX501224"/>
    <x v="18"/>
    <x v="3"/>
    <n v="39.4"/>
    <n v="275.8"/>
    <x v="48"/>
    <d v="2025-02-18T00:00:00"/>
    <s v="M"/>
    <x v="1"/>
    <x v="0"/>
    <s v="California"/>
    <s v="Madera County"/>
    <x v="7"/>
    <x v="7"/>
    <x v="1"/>
  </r>
  <r>
    <s v="TX501225"/>
    <x v="19"/>
    <x v="2"/>
    <n v="38"/>
    <n v="114"/>
    <x v="48"/>
    <d v="2025-02-21T00:00:00"/>
    <s v="M"/>
    <x v="4"/>
    <x v="1"/>
    <s v="California"/>
    <s v="Sacramento County"/>
    <x v="2"/>
    <x v="7"/>
    <x v="1"/>
  </r>
  <r>
    <s v="TX501226"/>
    <x v="17"/>
    <x v="12"/>
    <n v="42.5"/>
    <n v="170"/>
    <x v="48"/>
    <d v="2025-02-20T00:00:00"/>
    <s v=""/>
    <x v="0"/>
    <x v="0"/>
    <s v="California"/>
    <s v="Sacramento County"/>
    <x v="1"/>
    <x v="7"/>
    <x v="0"/>
  </r>
  <r>
    <s v="TX501227"/>
    <x v="15"/>
    <x v="0"/>
    <n v="62.3"/>
    <n v="62.3"/>
    <x v="48"/>
    <d v="2025-02-27T00:00:00"/>
    <s v="M"/>
    <x v="0"/>
    <x v="2"/>
    <s v="California"/>
    <s v="Sacramento County"/>
    <x v="8"/>
    <x v="7"/>
    <x v="1"/>
  </r>
  <r>
    <s v="TX501228"/>
    <x v="6"/>
    <x v="9"/>
    <n v="49.1"/>
    <n v="245.5"/>
    <x v="48"/>
    <d v="2025-02-20T00:00:00"/>
    <s v="F"/>
    <x v="1"/>
    <x v="2"/>
    <s v="California"/>
    <s v="San Bernardino County"/>
    <x v="1"/>
    <x v="7"/>
    <x v="2"/>
  </r>
  <r>
    <s v="TX501229"/>
    <x v="3"/>
    <x v="1"/>
    <n v="30.5"/>
    <n v="61"/>
    <x v="48"/>
    <d v="2025-02-21T00:00:00"/>
    <s v="M"/>
    <x v="0"/>
    <x v="2"/>
    <s v="California"/>
    <s v="San Diego County"/>
    <x v="2"/>
    <x v="7"/>
    <x v="1"/>
  </r>
  <r>
    <s v="TX501230"/>
    <x v="2"/>
    <x v="1"/>
    <n v="154.80000000000001"/>
    <n v="309.60000000000002"/>
    <x v="48"/>
    <d v="2025-02-21T00:00:00"/>
    <s v="F"/>
    <x v="1"/>
    <x v="4"/>
    <s v="California"/>
    <s v="San Diego County"/>
    <x v="2"/>
    <x v="7"/>
    <x v="2"/>
  </r>
  <r>
    <s v="TX501231"/>
    <x v="6"/>
    <x v="0"/>
    <n v="45"/>
    <n v="45"/>
    <x v="48"/>
    <d v="2025-02-22T00:00:00"/>
    <s v="M"/>
    <x v="3"/>
    <x v="1"/>
    <s v="California"/>
    <s v="San Diego County"/>
    <x v="5"/>
    <x v="7"/>
    <x v="1"/>
  </r>
  <r>
    <s v="TX501232"/>
    <x v="0"/>
    <x v="3"/>
    <n v="15.3"/>
    <n v="107.10000000000001"/>
    <x v="48"/>
    <d v="2025-02-19T00:00:00"/>
    <s v="M"/>
    <x v="0"/>
    <x v="2"/>
    <s v="California"/>
    <s v="San Diego County"/>
    <x v="3"/>
    <x v="7"/>
    <x v="1"/>
  </r>
  <r>
    <s v="TX501233"/>
    <x v="2"/>
    <x v="5"/>
    <n v="88.6"/>
    <n v="974.59999999999991"/>
    <x v="48"/>
    <d v="2025-02-21T00:00:00"/>
    <s v="F"/>
    <x v="0"/>
    <x v="4"/>
    <s v="California"/>
    <s v="San Francisco"/>
    <x v="2"/>
    <x v="7"/>
    <x v="2"/>
  </r>
  <r>
    <s v="TX501234"/>
    <x v="9"/>
    <x v="1"/>
    <n v="49.7"/>
    <n v="99.4"/>
    <x v="48"/>
    <d v="2025-02-20T00:00:00"/>
    <s v="O"/>
    <x v="4"/>
    <x v="0"/>
    <s v="California"/>
    <s v="Santa Barbara County"/>
    <x v="1"/>
    <x v="7"/>
    <x v="3"/>
  </r>
  <r>
    <s v="TX501235"/>
    <x v="10"/>
    <x v="0"/>
    <n v="29"/>
    <n v="29"/>
    <x v="48"/>
    <d v="2025-02-19T00:00:00"/>
    <s v="M"/>
    <x v="0"/>
    <x v="0"/>
    <s v="California"/>
    <s v="Santa Clara County"/>
    <x v="3"/>
    <x v="7"/>
    <x v="1"/>
  </r>
  <r>
    <s v="TX501236"/>
    <x v="1"/>
    <x v="0"/>
    <n v="60.7"/>
    <n v="60.7"/>
    <x v="48"/>
    <d v="2025-02-19T00:00:00"/>
    <s v="O"/>
    <x v="0"/>
    <x v="1"/>
    <s v="California"/>
    <s v="Santa Clara County"/>
    <x v="3"/>
    <x v="7"/>
    <x v="3"/>
  </r>
  <r>
    <s v="TX501237"/>
    <x v="17"/>
    <x v="12"/>
    <n v="87.4"/>
    <n v="349.6"/>
    <x v="48"/>
    <d v="2025-02-20T00:00:00"/>
    <s v=""/>
    <x v="0"/>
    <x v="0"/>
    <s v="California"/>
    <s v="Santa Clara County"/>
    <x v="1"/>
    <x v="7"/>
    <x v="0"/>
  </r>
  <r>
    <s v="TX501238"/>
    <x v="4"/>
    <x v="3"/>
    <n v="44.5"/>
    <n v="311.5"/>
    <x v="48"/>
    <d v="2025-02-22T00:00:00"/>
    <s v="F"/>
    <x v="2"/>
    <x v="2"/>
    <s v="California"/>
    <s v="Stanislaus County"/>
    <x v="5"/>
    <x v="7"/>
    <x v="2"/>
  </r>
  <r>
    <s v="TX501239"/>
    <x v="2"/>
    <x v="0"/>
    <n v="141"/>
    <n v="141"/>
    <x v="48"/>
    <d v="2025-02-19T00:00:00"/>
    <s v="M"/>
    <x v="4"/>
    <x v="2"/>
    <s v="California"/>
    <s v="Stanislaus County"/>
    <x v="3"/>
    <x v="7"/>
    <x v="1"/>
  </r>
  <r>
    <s v="TX501240"/>
    <x v="0"/>
    <x v="2"/>
    <n v="16.7"/>
    <n v="50.099999999999994"/>
    <x v="48"/>
    <d v="2025-02-26T00:00:00"/>
    <s v="F"/>
    <x v="0"/>
    <x v="0"/>
    <s v="California"/>
    <s v="Tulare County"/>
    <x v="9"/>
    <x v="7"/>
    <x v="2"/>
  </r>
  <r>
    <s v="TX501241"/>
    <x v="1"/>
    <x v="1"/>
    <n v="77.5"/>
    <n v="155"/>
    <x v="48"/>
    <d v="2025-02-19T00:00:00"/>
    <s v=""/>
    <x v="2"/>
    <x v="2"/>
    <s v="California"/>
    <s v="Ventura County"/>
    <x v="3"/>
    <x v="7"/>
    <x v="0"/>
  </r>
  <r>
    <s v="TX501242"/>
    <x v="2"/>
    <x v="1"/>
    <n v="163"/>
    <n v="326"/>
    <x v="48"/>
    <d v="2025-02-24T00:00:00"/>
    <s v="F"/>
    <x v="4"/>
    <x v="0"/>
    <s v="California"/>
    <s v="Alameda County"/>
    <x v="4"/>
    <x v="7"/>
    <x v="2"/>
  </r>
  <r>
    <s v="TX501243"/>
    <x v="4"/>
    <x v="11"/>
    <n v="21.4"/>
    <n v="192.6"/>
    <x v="48"/>
    <d v="2025-02-21T00:00:00"/>
    <s v="F"/>
    <x v="0"/>
    <x v="0"/>
    <s v="California"/>
    <s v="Butte County"/>
    <x v="2"/>
    <x v="7"/>
    <x v="2"/>
  </r>
  <r>
    <s v="TX501244"/>
    <x v="10"/>
    <x v="5"/>
    <n v="31"/>
    <n v="341"/>
    <x v="48"/>
    <d v="2025-02-20T00:00:00"/>
    <s v="F"/>
    <x v="3"/>
    <x v="2"/>
    <s v="California"/>
    <s v="Contra Costa County"/>
    <x v="1"/>
    <x v="7"/>
    <x v="2"/>
  </r>
  <r>
    <s v="TX501245"/>
    <x v="7"/>
    <x v="1"/>
    <n v="34.299999999999997"/>
    <n v="68.599999999999994"/>
    <x v="48"/>
    <d v="2025-02-20T00:00:00"/>
    <s v="F"/>
    <x v="0"/>
    <x v="3"/>
    <s v="California"/>
    <s v="Contra Costa County"/>
    <x v="1"/>
    <x v="7"/>
    <x v="2"/>
  </r>
  <r>
    <s v="TX501246"/>
    <x v="17"/>
    <x v="9"/>
    <n v="48.2"/>
    <n v="241"/>
    <x v="48"/>
    <d v="2025-02-19T00:00:00"/>
    <s v="M"/>
    <x v="1"/>
    <x v="1"/>
    <s v="California"/>
    <s v="Fresno County"/>
    <x v="3"/>
    <x v="7"/>
    <x v="1"/>
  </r>
  <r>
    <s v="TX501247"/>
    <x v="10"/>
    <x v="0"/>
    <n v="51.4"/>
    <n v="51.4"/>
    <x v="48"/>
    <d v="2025-02-19T00:00:00"/>
    <s v="M"/>
    <x v="0"/>
    <x v="0"/>
    <s v="California"/>
    <s v="Los Angeles County"/>
    <x v="3"/>
    <x v="7"/>
    <x v="1"/>
  </r>
  <r>
    <s v="TX501248"/>
    <x v="2"/>
    <x v="9"/>
    <n v="117.2"/>
    <n v="586"/>
    <x v="48"/>
    <d v="2025-02-21T00:00:00"/>
    <s v="F"/>
    <x v="4"/>
    <x v="4"/>
    <s v="California"/>
    <s v="Los Angeles County"/>
    <x v="2"/>
    <x v="7"/>
    <x v="2"/>
  </r>
  <r>
    <s v="TX501249"/>
    <x v="8"/>
    <x v="0"/>
    <n v="38.1"/>
    <n v="38.1"/>
    <x v="48"/>
    <d v="2025-02-18T00:00:00"/>
    <s v="M"/>
    <x v="4"/>
    <x v="1"/>
    <s v="California"/>
    <s v="Los Angeles County"/>
    <x v="7"/>
    <x v="7"/>
    <x v="1"/>
  </r>
  <r>
    <s v="TX501250"/>
    <x v="0"/>
    <x v="1"/>
    <n v="44.1"/>
    <n v="88.2"/>
    <x v="48"/>
    <d v="2025-02-20T00:00:00"/>
    <s v="F"/>
    <x v="2"/>
    <x v="0"/>
    <s v="California"/>
    <s v="Los Angeles County"/>
    <x v="1"/>
    <x v="7"/>
    <x v="2"/>
  </r>
  <r>
    <s v="TX501251"/>
    <x v="15"/>
    <x v="12"/>
    <n v="80.5"/>
    <n v="322"/>
    <x v="48"/>
    <d v="2025-02-23T00:00:00"/>
    <s v="M"/>
    <x v="0"/>
    <x v="0"/>
    <s v="California"/>
    <s v="Los Angeles County"/>
    <x v="0"/>
    <x v="7"/>
    <x v="1"/>
  </r>
  <r>
    <s v="TX501252"/>
    <x v="18"/>
    <x v="12"/>
    <n v="33.6"/>
    <n v="134.4"/>
    <x v="48"/>
    <d v="2025-02-23T00:00:00"/>
    <s v=""/>
    <x v="0"/>
    <x v="2"/>
    <s v="California"/>
    <s v="Los Angeles County"/>
    <x v="0"/>
    <x v="7"/>
    <x v="0"/>
  </r>
  <r>
    <s v="TX501253"/>
    <x v="9"/>
    <x v="11"/>
    <n v="41.8"/>
    <n v="376.2"/>
    <x v="48"/>
    <d v="2025-02-19T00:00:00"/>
    <s v="F"/>
    <x v="0"/>
    <x v="1"/>
    <s v="California"/>
    <s v="Los Angeles County"/>
    <x v="3"/>
    <x v="7"/>
    <x v="2"/>
  </r>
  <r>
    <s v="TX501254"/>
    <x v="1"/>
    <x v="1"/>
    <n v="106.2"/>
    <n v="212.4"/>
    <x v="48"/>
    <d v="2025-02-18T00:00:00"/>
    <s v="F"/>
    <x v="4"/>
    <x v="2"/>
    <s v="California"/>
    <s v="Los Angeles County"/>
    <x v="7"/>
    <x v="7"/>
    <x v="2"/>
  </r>
  <r>
    <s v="TX501255"/>
    <x v="1"/>
    <x v="1"/>
    <n v="52.6"/>
    <n v="105.2"/>
    <x v="48"/>
    <d v="2025-02-19T00:00:00"/>
    <s v="F"/>
    <x v="0"/>
    <x v="2"/>
    <s v="California"/>
    <s v="Placer County"/>
    <x v="3"/>
    <x v="7"/>
    <x v="2"/>
  </r>
  <r>
    <s v="TX501256"/>
    <x v="11"/>
    <x v="3"/>
    <n v="68.5"/>
    <n v="479.5"/>
    <x v="48"/>
    <d v="2025-02-19T00:00:00"/>
    <s v="F"/>
    <x v="1"/>
    <x v="0"/>
    <s v="California"/>
    <s v="Placer County"/>
    <x v="3"/>
    <x v="7"/>
    <x v="2"/>
  </r>
  <r>
    <s v="TX501257"/>
    <x v="1"/>
    <x v="1"/>
    <n v="55.6"/>
    <n v="111.2"/>
    <x v="48"/>
    <d v="2025-02-20T00:00:00"/>
    <s v="M"/>
    <x v="1"/>
    <x v="2"/>
    <s v="California"/>
    <s v="Sacramento County"/>
    <x v="1"/>
    <x v="7"/>
    <x v="1"/>
  </r>
  <r>
    <s v="TX501258"/>
    <x v="2"/>
    <x v="2"/>
    <n v="134.9"/>
    <n v="404.70000000000005"/>
    <x v="48"/>
    <d v="2025-02-19T00:00:00"/>
    <s v="M"/>
    <x v="1"/>
    <x v="1"/>
    <s v="California"/>
    <s v="Sacramento County"/>
    <x v="3"/>
    <x v="7"/>
    <x v="1"/>
  </r>
  <r>
    <s v="TX501259"/>
    <x v="10"/>
    <x v="9"/>
    <n v="42.6"/>
    <n v="213"/>
    <x v="48"/>
    <d v="2025-02-19T00:00:00"/>
    <s v="M"/>
    <x v="0"/>
    <x v="0"/>
    <s v="California"/>
    <s v="Sacramento County"/>
    <x v="3"/>
    <x v="7"/>
    <x v="1"/>
  </r>
  <r>
    <s v="TX501260"/>
    <x v="7"/>
    <x v="9"/>
    <n v="60.6"/>
    <n v="303"/>
    <x v="48"/>
    <d v="2025-02-20T00:00:00"/>
    <s v="M"/>
    <x v="4"/>
    <x v="0"/>
    <s v="California"/>
    <s v="Sacramento County"/>
    <x v="1"/>
    <x v="7"/>
    <x v="1"/>
  </r>
  <r>
    <s v="TX501261"/>
    <x v="8"/>
    <x v="1"/>
    <n v="43.5"/>
    <n v="87"/>
    <x v="48"/>
    <d v="2025-02-19T00:00:00"/>
    <s v="M"/>
    <x v="4"/>
    <x v="0"/>
    <s v="California"/>
    <s v="San Bernardino County"/>
    <x v="3"/>
    <x v="7"/>
    <x v="1"/>
  </r>
  <r>
    <s v="TX501262"/>
    <x v="2"/>
    <x v="1"/>
    <n v="187.1"/>
    <n v="374.2"/>
    <x v="48"/>
    <d v="2025-02-19T00:00:00"/>
    <s v="M"/>
    <x v="1"/>
    <x v="2"/>
    <s v="California"/>
    <s v="San Diego County"/>
    <x v="3"/>
    <x v="7"/>
    <x v="1"/>
  </r>
  <r>
    <s v="TX501263"/>
    <x v="9"/>
    <x v="2"/>
    <n v="32"/>
    <n v="96"/>
    <x v="48"/>
    <d v="2025-02-20T00:00:00"/>
    <s v="M"/>
    <x v="0"/>
    <x v="0"/>
    <s v="California"/>
    <s v="San Diego County"/>
    <x v="1"/>
    <x v="7"/>
    <x v="1"/>
  </r>
  <r>
    <s v="TX501264"/>
    <x v="9"/>
    <x v="1"/>
    <n v="110.8"/>
    <n v="221.6"/>
    <x v="48"/>
    <d v="2025-02-18T00:00:00"/>
    <s v="M"/>
    <x v="0"/>
    <x v="2"/>
    <s v="California"/>
    <s v="San Diego County"/>
    <x v="7"/>
    <x v="7"/>
    <x v="1"/>
  </r>
  <r>
    <s v="TX501265"/>
    <x v="10"/>
    <x v="15"/>
    <n v="36.1"/>
    <n v="469.3"/>
    <x v="48"/>
    <d v="2025-02-21T00:00:00"/>
    <s v="F"/>
    <x v="0"/>
    <x v="1"/>
    <s v="California"/>
    <s v="San Diego County"/>
    <x v="2"/>
    <x v="7"/>
    <x v="2"/>
  </r>
  <r>
    <s v="TX501266"/>
    <x v="0"/>
    <x v="0"/>
    <n v="24.1"/>
    <n v="24.1"/>
    <x v="48"/>
    <d v="2025-02-20T00:00:00"/>
    <s v="F"/>
    <x v="4"/>
    <x v="2"/>
    <s v="California"/>
    <s v="San Diego County"/>
    <x v="1"/>
    <x v="7"/>
    <x v="2"/>
  </r>
  <r>
    <s v="TX501267"/>
    <x v="19"/>
    <x v="2"/>
    <n v="30.5"/>
    <n v="91.5"/>
    <x v="48"/>
    <d v="2025-02-20T00:00:00"/>
    <s v="M"/>
    <x v="1"/>
    <x v="0"/>
    <s v="California"/>
    <s v="San Diego County"/>
    <x v="1"/>
    <x v="7"/>
    <x v="1"/>
  </r>
  <r>
    <s v="TX501268"/>
    <x v="18"/>
    <x v="13"/>
    <n v="68.3"/>
    <n v="409.79999999999995"/>
    <x v="48"/>
    <d v="2025-02-21T00:00:00"/>
    <s v="M"/>
    <x v="0"/>
    <x v="0"/>
    <s v="California"/>
    <s v="San Diego County"/>
    <x v="2"/>
    <x v="7"/>
    <x v="1"/>
  </r>
  <r>
    <s v="TX501269"/>
    <x v="7"/>
    <x v="2"/>
    <n v="43.3"/>
    <n v="129.89999999999998"/>
    <x v="48"/>
    <d v="2025-02-22T00:00:00"/>
    <s v="F"/>
    <x v="0"/>
    <x v="0"/>
    <s v="California"/>
    <s v="San Francisco"/>
    <x v="5"/>
    <x v="7"/>
    <x v="2"/>
  </r>
  <r>
    <s v="TX501270"/>
    <x v="3"/>
    <x v="0"/>
    <n v="101.7"/>
    <n v="101.7"/>
    <x v="48"/>
    <d v="2025-02-21T00:00:00"/>
    <s v="F"/>
    <x v="0"/>
    <x v="1"/>
    <s v="California"/>
    <s v="San Francisco"/>
    <x v="2"/>
    <x v="7"/>
    <x v="2"/>
  </r>
  <r>
    <s v="TX501271"/>
    <x v="11"/>
    <x v="1"/>
    <n v="54.2"/>
    <n v="108.4"/>
    <x v="48"/>
    <d v="2025-02-19T00:00:00"/>
    <s v="F"/>
    <x v="0"/>
    <x v="1"/>
    <s v="California"/>
    <s v="San Francisco"/>
    <x v="3"/>
    <x v="7"/>
    <x v="2"/>
  </r>
  <r>
    <s v="TX501272"/>
    <x v="16"/>
    <x v="1"/>
    <n v="51"/>
    <n v="102"/>
    <x v="48"/>
    <d v="2025-02-18T00:00:00"/>
    <s v="M"/>
    <x v="1"/>
    <x v="0"/>
    <s v="California"/>
    <s v="San Joaquin County"/>
    <x v="7"/>
    <x v="7"/>
    <x v="1"/>
  </r>
  <r>
    <s v="TX501273"/>
    <x v="4"/>
    <x v="1"/>
    <n v="23.1"/>
    <n v="46.2"/>
    <x v="48"/>
    <d v="2025-02-21T00:00:00"/>
    <s v="M"/>
    <x v="1"/>
    <x v="0"/>
    <s v="California"/>
    <s v="Santa Barbara County"/>
    <x v="2"/>
    <x v="7"/>
    <x v="1"/>
  </r>
  <r>
    <s v="TX501274"/>
    <x v="12"/>
    <x v="13"/>
    <n v="60.1"/>
    <n v="360.6"/>
    <x v="48"/>
    <d v="2025-02-18T00:00:00"/>
    <s v="F"/>
    <x v="3"/>
    <x v="0"/>
    <s v="California"/>
    <s v="Santa Clara County"/>
    <x v="7"/>
    <x v="7"/>
    <x v="2"/>
  </r>
  <r>
    <s v="TX501275"/>
    <x v="2"/>
    <x v="3"/>
    <n v="87.5"/>
    <n v="612.5"/>
    <x v="48"/>
    <d v="2025-02-20T00:00:00"/>
    <s v="F"/>
    <x v="0"/>
    <x v="1"/>
    <s v="California"/>
    <s v="Santa Clara County"/>
    <x v="1"/>
    <x v="7"/>
    <x v="2"/>
  </r>
  <r>
    <s v="TX501276"/>
    <x v="1"/>
    <x v="2"/>
    <n v="51"/>
    <n v="153"/>
    <x v="48"/>
    <d v="2025-02-19T00:00:00"/>
    <s v="F"/>
    <x v="1"/>
    <x v="0"/>
    <s v="California"/>
    <s v="Santa Clara County"/>
    <x v="3"/>
    <x v="7"/>
    <x v="2"/>
  </r>
  <r>
    <s v="TX501277"/>
    <x v="8"/>
    <x v="12"/>
    <n v="19.2"/>
    <n v="76.8"/>
    <x v="48"/>
    <d v="2025-02-20T00:00:00"/>
    <s v="F"/>
    <x v="0"/>
    <x v="0"/>
    <s v="California"/>
    <s v="Santa Clara County"/>
    <x v="1"/>
    <x v="7"/>
    <x v="2"/>
  </r>
  <r>
    <s v="TX501278"/>
    <x v="5"/>
    <x v="8"/>
    <n v="26.5"/>
    <n v="212"/>
    <x v="48"/>
    <d v="2025-02-19T00:00:00"/>
    <s v=""/>
    <x v="3"/>
    <x v="2"/>
    <s v="California"/>
    <s v="Santa Clara County"/>
    <x v="3"/>
    <x v="7"/>
    <x v="0"/>
  </r>
  <r>
    <s v="TX501279"/>
    <x v="2"/>
    <x v="1"/>
    <n v="220.3"/>
    <n v="440.6"/>
    <x v="48"/>
    <d v="2025-02-19T00:00:00"/>
    <s v="F"/>
    <x v="1"/>
    <x v="4"/>
    <s v="California"/>
    <s v="Shasta County"/>
    <x v="3"/>
    <x v="7"/>
    <x v="2"/>
  </r>
  <r>
    <s v="TX501280"/>
    <x v="8"/>
    <x v="2"/>
    <n v="45.7"/>
    <n v="137.10000000000002"/>
    <x v="48"/>
    <d v="2025-02-19T00:00:00"/>
    <s v="F"/>
    <x v="4"/>
    <x v="0"/>
    <s v="California"/>
    <s v="Siskiyou County"/>
    <x v="3"/>
    <x v="7"/>
    <x v="2"/>
  </r>
  <r>
    <s v="TX501281"/>
    <x v="5"/>
    <x v="9"/>
    <n v="47.1"/>
    <n v="235.5"/>
    <x v="48"/>
    <d v="2025-02-22T00:00:00"/>
    <s v="F"/>
    <x v="3"/>
    <x v="0"/>
    <s v="California"/>
    <s v="Ventura County"/>
    <x v="5"/>
    <x v="7"/>
    <x v="2"/>
  </r>
  <r>
    <s v="TX501282"/>
    <x v="1"/>
    <x v="9"/>
    <n v="81.7"/>
    <n v="408.5"/>
    <x v="48"/>
    <d v="2025-02-19T00:00:00"/>
    <s v="F"/>
    <x v="0"/>
    <x v="2"/>
    <s v="California"/>
    <s v="Alameda County"/>
    <x v="3"/>
    <x v="7"/>
    <x v="2"/>
  </r>
  <r>
    <s v="TX501283"/>
    <x v="6"/>
    <x v="7"/>
    <n v="97.8"/>
    <n v="978"/>
    <x v="48"/>
    <d v="2025-02-18T00:00:00"/>
    <s v="M"/>
    <x v="1"/>
    <x v="1"/>
    <s v="California"/>
    <s v="Alameda County"/>
    <x v="7"/>
    <x v="7"/>
    <x v="1"/>
  </r>
  <r>
    <s v="TX501284"/>
    <x v="6"/>
    <x v="2"/>
    <n v="42.4"/>
    <n v="127.19999999999999"/>
    <x v="48"/>
    <d v="2025-02-19T00:00:00"/>
    <s v="F"/>
    <x v="0"/>
    <x v="2"/>
    <s v="California"/>
    <s v="Colusa County"/>
    <x v="3"/>
    <x v="7"/>
    <x v="2"/>
  </r>
  <r>
    <s v="TX501285"/>
    <x v="2"/>
    <x v="7"/>
    <n v="74.5"/>
    <n v="745"/>
    <x v="48"/>
    <d v="2025-02-19T00:00:00"/>
    <s v="M"/>
    <x v="2"/>
    <x v="1"/>
    <s v="California"/>
    <s v="Contra Costa County"/>
    <x v="3"/>
    <x v="7"/>
    <x v="1"/>
  </r>
  <r>
    <s v="TX501286"/>
    <x v="17"/>
    <x v="13"/>
    <n v="47.4"/>
    <n v="284.39999999999998"/>
    <x v="48"/>
    <d v="2025-02-19T00:00:00"/>
    <s v="M"/>
    <x v="1"/>
    <x v="0"/>
    <s v="California"/>
    <s v="Contra Costa County"/>
    <x v="3"/>
    <x v="7"/>
    <x v="1"/>
  </r>
  <r>
    <s v="TX501287"/>
    <x v="14"/>
    <x v="2"/>
    <n v="17.3"/>
    <n v="51.900000000000006"/>
    <x v="49"/>
    <d v="2025-02-22T00:00:00"/>
    <s v="M"/>
    <x v="2"/>
    <x v="2"/>
    <s v="California"/>
    <s v="Contra Costa County"/>
    <x v="2"/>
    <x v="7"/>
    <x v="1"/>
  </r>
  <r>
    <s v="TX501288"/>
    <x v="12"/>
    <x v="12"/>
    <n v="77.900000000000006"/>
    <n v="311.60000000000002"/>
    <x v="49"/>
    <d v="2025-02-20T00:00:00"/>
    <s v="M"/>
    <x v="1"/>
    <x v="0"/>
    <s v="California"/>
    <s v="Fresno County"/>
    <x v="3"/>
    <x v="7"/>
    <x v="1"/>
  </r>
  <r>
    <s v="TX501289"/>
    <x v="8"/>
    <x v="0"/>
    <n v="29.1"/>
    <n v="29.1"/>
    <x v="49"/>
    <d v="2025-02-22T00:00:00"/>
    <s v="M"/>
    <x v="0"/>
    <x v="2"/>
    <s v="California"/>
    <s v="Lake County"/>
    <x v="2"/>
    <x v="7"/>
    <x v="1"/>
  </r>
  <r>
    <s v="TX501290"/>
    <x v="8"/>
    <x v="0"/>
    <n v="49"/>
    <n v="49"/>
    <x v="49"/>
    <d v="2025-02-20T00:00:00"/>
    <s v="M"/>
    <x v="1"/>
    <x v="0"/>
    <s v="California"/>
    <s v="Los Angeles County"/>
    <x v="3"/>
    <x v="7"/>
    <x v="1"/>
  </r>
  <r>
    <s v="TX501291"/>
    <x v="8"/>
    <x v="13"/>
    <n v="21.1"/>
    <n v="126.60000000000001"/>
    <x v="49"/>
    <d v="2025-02-26T00:00:00"/>
    <s v="M"/>
    <x v="0"/>
    <x v="2"/>
    <s v="California"/>
    <s v="Los Angeles County"/>
    <x v="6"/>
    <x v="7"/>
    <x v="1"/>
  </r>
  <r>
    <s v="TX501292"/>
    <x v="4"/>
    <x v="10"/>
    <n v="36.9"/>
    <n v="701.1"/>
    <x v="49"/>
    <d v="2025-02-19T00:00:00"/>
    <s v="F"/>
    <x v="0"/>
    <x v="0"/>
    <s v="California"/>
    <s v="Los Angeles County"/>
    <x v="7"/>
    <x v="7"/>
    <x v="2"/>
  </r>
  <r>
    <s v="TX501293"/>
    <x v="1"/>
    <x v="7"/>
    <n v="92.6"/>
    <n v="926"/>
    <x v="49"/>
    <d v="2025-02-24T00:00:00"/>
    <s v="M"/>
    <x v="4"/>
    <x v="2"/>
    <s v="California"/>
    <s v="Los Angeles County"/>
    <x v="0"/>
    <x v="7"/>
    <x v="1"/>
  </r>
  <r>
    <s v="TX501294"/>
    <x v="10"/>
    <x v="1"/>
    <n v="38"/>
    <n v="76"/>
    <x v="49"/>
    <d v="2025-02-20T00:00:00"/>
    <s v="M"/>
    <x v="1"/>
    <x v="1"/>
    <s v="California"/>
    <s v="Los Angeles County"/>
    <x v="3"/>
    <x v="7"/>
    <x v="1"/>
  </r>
  <r>
    <s v="TX501295"/>
    <x v="5"/>
    <x v="2"/>
    <n v="54.8"/>
    <n v="164.39999999999998"/>
    <x v="49"/>
    <d v="2025-02-23T00:00:00"/>
    <s v=""/>
    <x v="0"/>
    <x v="1"/>
    <s v="California"/>
    <s v="Los Angeles County"/>
    <x v="5"/>
    <x v="7"/>
    <x v="0"/>
  </r>
  <r>
    <s v="TX501296"/>
    <x v="10"/>
    <x v="4"/>
    <n v="56.8"/>
    <n v="681.59999999999991"/>
    <x v="49"/>
    <d v="2025-02-21T00:00:00"/>
    <s v="M"/>
    <x v="1"/>
    <x v="0"/>
    <s v="California"/>
    <s v="Los Angeles County"/>
    <x v="1"/>
    <x v="7"/>
    <x v="1"/>
  </r>
  <r>
    <s v="TX501297"/>
    <x v="11"/>
    <x v="40"/>
    <n v="47.2"/>
    <n v="1557.6000000000001"/>
    <x v="49"/>
    <d v="2025-02-22T00:00:00"/>
    <s v="F"/>
    <x v="1"/>
    <x v="0"/>
    <s v="California"/>
    <s v="Los Angeles County"/>
    <x v="2"/>
    <x v="7"/>
    <x v="2"/>
  </r>
  <r>
    <s v="TX501298"/>
    <x v="7"/>
    <x v="13"/>
    <n v="45.1"/>
    <n v="270.60000000000002"/>
    <x v="49"/>
    <d v="2025-02-20T00:00:00"/>
    <s v="F"/>
    <x v="2"/>
    <x v="0"/>
    <s v="California"/>
    <s v="Marin County"/>
    <x v="3"/>
    <x v="7"/>
    <x v="2"/>
  </r>
  <r>
    <s v="TX501299"/>
    <x v="4"/>
    <x v="4"/>
    <n v="25.2"/>
    <n v="302.39999999999998"/>
    <x v="49"/>
    <d v="2025-02-24T00:00:00"/>
    <s v="F"/>
    <x v="2"/>
    <x v="0"/>
    <s v="California"/>
    <s v="Napa County"/>
    <x v="0"/>
    <x v="7"/>
    <x v="2"/>
  </r>
  <r>
    <s v="TX501300"/>
    <x v="8"/>
    <x v="0"/>
    <n v="22"/>
    <n v="22"/>
    <x v="49"/>
    <d v="2025-02-20T00:00:00"/>
    <s v="F"/>
    <x v="0"/>
    <x v="0"/>
    <s v="California"/>
    <s v="Placer County"/>
    <x v="3"/>
    <x v="7"/>
    <x v="2"/>
  </r>
  <r>
    <s v="TX501301"/>
    <x v="6"/>
    <x v="1"/>
    <n v="42.2"/>
    <n v="84.4"/>
    <x v="49"/>
    <d v="2025-02-20T00:00:00"/>
    <s v="F"/>
    <x v="1"/>
    <x v="1"/>
    <s v="California"/>
    <s v="Riverside County"/>
    <x v="3"/>
    <x v="7"/>
    <x v="2"/>
  </r>
  <r>
    <s v="TX501302"/>
    <x v="13"/>
    <x v="2"/>
    <n v="20.5"/>
    <n v="61.5"/>
    <x v="49"/>
    <d v="2025-02-20T00:00:00"/>
    <s v="M"/>
    <x v="0"/>
    <x v="1"/>
    <s v="California"/>
    <s v="Sacramento County"/>
    <x v="3"/>
    <x v="7"/>
    <x v="1"/>
  </r>
  <r>
    <s v="TX501303"/>
    <x v="2"/>
    <x v="0"/>
    <n v="190.4"/>
    <n v="190.4"/>
    <x v="49"/>
    <d v="2025-02-24T00:00:00"/>
    <s v="M"/>
    <x v="1"/>
    <x v="4"/>
    <s v="California"/>
    <s v="Sacramento County"/>
    <x v="0"/>
    <x v="7"/>
    <x v="1"/>
  </r>
  <r>
    <s v="TX501304"/>
    <x v="2"/>
    <x v="0"/>
    <n v="121.9"/>
    <n v="121.9"/>
    <x v="49"/>
    <d v="2025-02-21T00:00:00"/>
    <s v="F"/>
    <x v="1"/>
    <x v="2"/>
    <s v="California"/>
    <s v="Sacramento County"/>
    <x v="1"/>
    <x v="7"/>
    <x v="2"/>
  </r>
  <r>
    <s v="TX501305"/>
    <x v="2"/>
    <x v="13"/>
    <n v="149.19999999999999"/>
    <n v="895.19999999999993"/>
    <x v="49"/>
    <d v="2025-02-20T00:00:00"/>
    <s v="F"/>
    <x v="2"/>
    <x v="2"/>
    <s v="California"/>
    <s v="San Bernardino County"/>
    <x v="3"/>
    <x v="7"/>
    <x v="2"/>
  </r>
  <r>
    <s v="TX501306"/>
    <x v="2"/>
    <x v="0"/>
    <n v="54.1"/>
    <n v="54.1"/>
    <x v="49"/>
    <d v="2025-02-28T00:00:00"/>
    <s v="F"/>
    <x v="2"/>
    <x v="2"/>
    <s v="California"/>
    <s v="San Bernardino County"/>
    <x v="8"/>
    <x v="7"/>
    <x v="2"/>
  </r>
  <r>
    <s v="TX501307"/>
    <x v="5"/>
    <x v="1"/>
    <n v="27.4"/>
    <n v="54.8"/>
    <x v="49"/>
    <d v="2025-02-21T00:00:00"/>
    <s v="M"/>
    <x v="1"/>
    <x v="0"/>
    <s v="California"/>
    <s v="San Diego County"/>
    <x v="1"/>
    <x v="7"/>
    <x v="1"/>
  </r>
  <r>
    <s v="TX501308"/>
    <x v="0"/>
    <x v="15"/>
    <n v="30.4"/>
    <n v="395.2"/>
    <x v="49"/>
    <d v="2025-02-20T00:00:00"/>
    <s v="F"/>
    <x v="0"/>
    <x v="2"/>
    <s v="California"/>
    <s v="San Diego County"/>
    <x v="3"/>
    <x v="7"/>
    <x v="2"/>
  </r>
  <r>
    <s v="TX501309"/>
    <x v="12"/>
    <x v="2"/>
    <n v="46.2"/>
    <n v="138.60000000000002"/>
    <x v="49"/>
    <d v="2025-02-21T00:00:00"/>
    <s v="M"/>
    <x v="2"/>
    <x v="1"/>
    <s v="California"/>
    <s v="San Francisco"/>
    <x v="1"/>
    <x v="7"/>
    <x v="1"/>
  </r>
  <r>
    <s v="TX501310"/>
    <x v="7"/>
    <x v="8"/>
    <n v="78.599999999999994"/>
    <n v="628.79999999999995"/>
    <x v="49"/>
    <d v="2025-02-23T00:00:00"/>
    <s v="M"/>
    <x v="3"/>
    <x v="0"/>
    <s v="California"/>
    <s v="San Francisco"/>
    <x v="5"/>
    <x v="7"/>
    <x v="1"/>
  </r>
  <r>
    <s v="TX501311"/>
    <x v="17"/>
    <x v="7"/>
    <n v="25.9"/>
    <n v="259"/>
    <x v="49"/>
    <d v="2025-02-25T00:00:00"/>
    <s v="M"/>
    <x v="4"/>
    <x v="0"/>
    <s v="California"/>
    <s v="San Mateo County"/>
    <x v="4"/>
    <x v="7"/>
    <x v="1"/>
  </r>
  <r>
    <s v="TX501312"/>
    <x v="6"/>
    <x v="0"/>
    <n v="134.80000000000001"/>
    <n v="134.80000000000001"/>
    <x v="49"/>
    <d v="2025-02-21T00:00:00"/>
    <s v="M"/>
    <x v="2"/>
    <x v="2"/>
    <s v="California"/>
    <s v="San Mateo County"/>
    <x v="1"/>
    <x v="7"/>
    <x v="1"/>
  </r>
  <r>
    <s v="TX501313"/>
    <x v="15"/>
    <x v="9"/>
    <n v="43.1"/>
    <n v="215.5"/>
    <x v="49"/>
    <d v="2025-02-21T00:00:00"/>
    <s v="F"/>
    <x v="0"/>
    <x v="0"/>
    <s v="California"/>
    <s v="Santa Clara County"/>
    <x v="1"/>
    <x v="7"/>
    <x v="2"/>
  </r>
  <r>
    <s v="TX501314"/>
    <x v="2"/>
    <x v="1"/>
    <n v="215.6"/>
    <n v="431.2"/>
    <x v="49"/>
    <d v="2025-02-20T00:00:00"/>
    <s v="F"/>
    <x v="2"/>
    <x v="0"/>
    <s v="California"/>
    <s v="Sonoma County"/>
    <x v="3"/>
    <x v="7"/>
    <x v="2"/>
  </r>
  <r>
    <s v="TX501315"/>
    <x v="6"/>
    <x v="1"/>
    <n v="80.7"/>
    <n v="161.4"/>
    <x v="49"/>
    <d v="2025-02-22T00:00:00"/>
    <s v="F"/>
    <x v="3"/>
    <x v="0"/>
    <s v="California"/>
    <s v="Sonoma County"/>
    <x v="2"/>
    <x v="7"/>
    <x v="2"/>
  </r>
  <r>
    <s v="TX501316"/>
    <x v="10"/>
    <x v="3"/>
    <n v="20.6"/>
    <n v="144.20000000000002"/>
    <x v="49"/>
    <d v="2025-02-24T00:00:00"/>
    <s v=""/>
    <x v="2"/>
    <x v="1"/>
    <s v="California"/>
    <s v="Stanislaus County"/>
    <x v="0"/>
    <x v="7"/>
    <x v="0"/>
  </r>
  <r>
    <s v="TX501317"/>
    <x v="12"/>
    <x v="2"/>
    <n v="37.1"/>
    <n v="111.30000000000001"/>
    <x v="49"/>
    <d v="2025-02-20T00:00:00"/>
    <s v="F"/>
    <x v="0"/>
    <x v="0"/>
    <s v="California"/>
    <s v="Tuolumne County"/>
    <x v="3"/>
    <x v="7"/>
    <x v="2"/>
  </r>
  <r>
    <s v="TX501318"/>
    <x v="12"/>
    <x v="0"/>
    <n v="104.8"/>
    <n v="104.8"/>
    <x v="50"/>
    <d v="2025-02-22T00:00:00"/>
    <s v="F"/>
    <x v="0"/>
    <x v="0"/>
    <s v="California"/>
    <s v="Ventura County"/>
    <x v="1"/>
    <x v="7"/>
    <x v="2"/>
  </r>
  <r>
    <s v="TX501319"/>
    <x v="8"/>
    <x v="1"/>
    <n v="59"/>
    <n v="118"/>
    <x v="50"/>
    <d v="2025-02-21T00:00:00"/>
    <s v="M"/>
    <x v="1"/>
    <x v="0"/>
    <s v="California"/>
    <s v="Alameda County"/>
    <x v="3"/>
    <x v="7"/>
    <x v="1"/>
  </r>
  <r>
    <s v="TX501320"/>
    <x v="8"/>
    <x v="1"/>
    <n v="32.299999999999997"/>
    <n v="64.599999999999994"/>
    <x v="50"/>
    <d v="2025-02-21T00:00:00"/>
    <s v="M"/>
    <x v="0"/>
    <x v="2"/>
    <s v="California"/>
    <s v="Alameda County"/>
    <x v="3"/>
    <x v="7"/>
    <x v="1"/>
  </r>
  <r>
    <s v="TX501321"/>
    <x v="8"/>
    <x v="12"/>
    <n v="28.9"/>
    <n v="115.6"/>
    <x v="50"/>
    <d v="2025-02-27T00:00:00"/>
    <s v="M"/>
    <x v="0"/>
    <x v="0"/>
    <s v="California"/>
    <s v="Contra Costa County"/>
    <x v="6"/>
    <x v="7"/>
    <x v="1"/>
  </r>
  <r>
    <s v="TX501322"/>
    <x v="0"/>
    <x v="1"/>
    <n v="29.6"/>
    <n v="59.2"/>
    <x v="50"/>
    <d v="2025-02-22T00:00:00"/>
    <s v="M"/>
    <x v="0"/>
    <x v="0"/>
    <s v="California"/>
    <s v="Contra Costa County"/>
    <x v="1"/>
    <x v="7"/>
    <x v="1"/>
  </r>
  <r>
    <s v="TX501323"/>
    <x v="0"/>
    <x v="9"/>
    <n v="29.4"/>
    <n v="147"/>
    <x v="50"/>
    <d v="2025-02-23T00:00:00"/>
    <s v="F"/>
    <x v="0"/>
    <x v="0"/>
    <s v="California"/>
    <s v="Contra Costa County"/>
    <x v="2"/>
    <x v="7"/>
    <x v="2"/>
  </r>
  <r>
    <s v="TX501324"/>
    <x v="1"/>
    <x v="1"/>
    <n v="40.6"/>
    <n v="81.2"/>
    <x v="50"/>
    <d v="2025-02-21T00:00:00"/>
    <s v="M"/>
    <x v="0"/>
    <x v="4"/>
    <s v="California"/>
    <s v="Fresno County"/>
    <x v="3"/>
    <x v="7"/>
    <x v="1"/>
  </r>
  <r>
    <s v="TX501325"/>
    <x v="0"/>
    <x v="2"/>
    <n v="32.5"/>
    <n v="97.5"/>
    <x v="50"/>
    <d v="2025-02-21T00:00:00"/>
    <s v="M"/>
    <x v="3"/>
    <x v="2"/>
    <s v="California"/>
    <s v="Kern County"/>
    <x v="3"/>
    <x v="7"/>
    <x v="1"/>
  </r>
  <r>
    <s v="TX501326"/>
    <x v="15"/>
    <x v="0"/>
    <n v="26.2"/>
    <n v="26.2"/>
    <x v="50"/>
    <d v="2025-02-22T00:00:00"/>
    <s v="M"/>
    <x v="2"/>
    <x v="0"/>
    <s v="California"/>
    <s v="Lassen County"/>
    <x v="1"/>
    <x v="7"/>
    <x v="1"/>
  </r>
  <r>
    <s v="TX501327"/>
    <x v="10"/>
    <x v="17"/>
    <n v="44"/>
    <n v="1320"/>
    <x v="50"/>
    <d v="2025-02-26T00:00:00"/>
    <s v="M"/>
    <x v="4"/>
    <x v="0"/>
    <s v="California"/>
    <s v="Los Angeles County"/>
    <x v="4"/>
    <x v="7"/>
    <x v="1"/>
  </r>
  <r>
    <s v="TX501328"/>
    <x v="7"/>
    <x v="12"/>
    <n v="65.599999999999994"/>
    <n v="262.39999999999998"/>
    <x v="50"/>
    <d v="2025-02-21T00:00:00"/>
    <s v="F"/>
    <x v="1"/>
    <x v="1"/>
    <s v="California"/>
    <s v="Los Angeles County"/>
    <x v="3"/>
    <x v="7"/>
    <x v="2"/>
  </r>
  <r>
    <s v="TX501329"/>
    <x v="5"/>
    <x v="4"/>
    <n v="32.6"/>
    <n v="391.20000000000005"/>
    <x v="50"/>
    <d v="2025-02-21T00:00:00"/>
    <s v="M"/>
    <x v="4"/>
    <x v="0"/>
    <s v="California"/>
    <s v="Los Angeles County"/>
    <x v="3"/>
    <x v="7"/>
    <x v="1"/>
  </r>
  <r>
    <s v="TX501330"/>
    <x v="16"/>
    <x v="1"/>
    <n v="88.7"/>
    <n v="177.4"/>
    <x v="50"/>
    <d v="2025-02-21T00:00:00"/>
    <s v=""/>
    <x v="3"/>
    <x v="2"/>
    <s v="California"/>
    <s v="Los Angeles County"/>
    <x v="3"/>
    <x v="7"/>
    <x v="0"/>
  </r>
  <r>
    <s v="TX501331"/>
    <x v="4"/>
    <x v="1"/>
    <n v="21.3"/>
    <n v="42.6"/>
    <x v="50"/>
    <d v="2025-02-21T00:00:00"/>
    <s v="M"/>
    <x v="0"/>
    <x v="0"/>
    <s v="California"/>
    <s v="Los Angeles County"/>
    <x v="3"/>
    <x v="7"/>
    <x v="1"/>
  </r>
  <r>
    <s v="TX501332"/>
    <x v="4"/>
    <x v="13"/>
    <n v="50.6"/>
    <n v="303.60000000000002"/>
    <x v="50"/>
    <d v="2025-02-24T00:00:00"/>
    <s v="F"/>
    <x v="2"/>
    <x v="0"/>
    <s v="California"/>
    <s v="Los Angeles County"/>
    <x v="5"/>
    <x v="7"/>
    <x v="2"/>
  </r>
  <r>
    <s v="TX501333"/>
    <x v="9"/>
    <x v="38"/>
    <n v="86.9"/>
    <n v="1824.9"/>
    <x v="50"/>
    <d v="2025-02-23T00:00:00"/>
    <s v="F"/>
    <x v="0"/>
    <x v="1"/>
    <s v="California"/>
    <s v="Los Angeles County"/>
    <x v="2"/>
    <x v="7"/>
    <x v="2"/>
  </r>
  <r>
    <s v="TX501334"/>
    <x v="11"/>
    <x v="2"/>
    <n v="31.8"/>
    <n v="95.4"/>
    <x v="50"/>
    <d v="2025-02-22T00:00:00"/>
    <s v="M"/>
    <x v="0"/>
    <x v="2"/>
    <s v="California"/>
    <s v="Los Angeles County"/>
    <x v="1"/>
    <x v="7"/>
    <x v="1"/>
  </r>
  <r>
    <s v="TX501335"/>
    <x v="8"/>
    <x v="0"/>
    <n v="19"/>
    <n v="19"/>
    <x v="50"/>
    <d v="2025-02-21T00:00:00"/>
    <s v="F"/>
    <x v="0"/>
    <x v="2"/>
    <s v="California"/>
    <s v="Los Angeles County"/>
    <x v="3"/>
    <x v="7"/>
    <x v="2"/>
  </r>
  <r>
    <s v="TX501336"/>
    <x v="5"/>
    <x v="0"/>
    <n v="54.5"/>
    <n v="54.5"/>
    <x v="50"/>
    <d v="2025-02-22T00:00:00"/>
    <s v="M"/>
    <x v="0"/>
    <x v="0"/>
    <s v="California"/>
    <s v="Los Angeles County"/>
    <x v="1"/>
    <x v="7"/>
    <x v="1"/>
  </r>
  <r>
    <s v="TX501337"/>
    <x v="9"/>
    <x v="9"/>
    <n v="68.900000000000006"/>
    <n v="344.5"/>
    <x v="50"/>
    <d v="2025-02-22T00:00:00"/>
    <s v="M"/>
    <x v="4"/>
    <x v="1"/>
    <s v="California"/>
    <s v="Los Angeles County"/>
    <x v="1"/>
    <x v="7"/>
    <x v="1"/>
  </r>
  <r>
    <s v="TX501338"/>
    <x v="6"/>
    <x v="2"/>
    <n v="84"/>
    <n v="252"/>
    <x v="50"/>
    <d v="2025-02-21T00:00:00"/>
    <s v="M"/>
    <x v="1"/>
    <x v="4"/>
    <s v="California"/>
    <s v="Napa County"/>
    <x v="3"/>
    <x v="7"/>
    <x v="1"/>
  </r>
  <r>
    <s v="TX501339"/>
    <x v="15"/>
    <x v="8"/>
    <n v="23.1"/>
    <n v="184.8"/>
    <x v="50"/>
    <d v="2025-02-25T00:00:00"/>
    <s v="M"/>
    <x v="0"/>
    <x v="2"/>
    <s v="California"/>
    <s v="Riverside County"/>
    <x v="0"/>
    <x v="7"/>
    <x v="1"/>
  </r>
  <r>
    <s v="TX501340"/>
    <x v="7"/>
    <x v="1"/>
    <n v="62.4"/>
    <n v="124.8"/>
    <x v="50"/>
    <d v="2025-02-21T00:00:00"/>
    <s v="F"/>
    <x v="0"/>
    <x v="1"/>
    <s v="California"/>
    <s v="Sacramento County"/>
    <x v="3"/>
    <x v="7"/>
    <x v="2"/>
  </r>
  <r>
    <s v="TX501341"/>
    <x v="6"/>
    <x v="4"/>
    <n v="40.700000000000003"/>
    <n v="488.40000000000003"/>
    <x v="50"/>
    <d v="2025-02-22T00:00:00"/>
    <s v="M"/>
    <x v="1"/>
    <x v="2"/>
    <s v="California"/>
    <s v="Sacramento County"/>
    <x v="1"/>
    <x v="7"/>
    <x v="1"/>
  </r>
  <r>
    <s v="TX501342"/>
    <x v="6"/>
    <x v="0"/>
    <n v="49.6"/>
    <n v="49.6"/>
    <x v="50"/>
    <d v="2025-02-23T00:00:00"/>
    <s v="M"/>
    <x v="2"/>
    <x v="0"/>
    <s v="California"/>
    <s v="San Bernardino County"/>
    <x v="2"/>
    <x v="7"/>
    <x v="1"/>
  </r>
  <r>
    <s v="TX501343"/>
    <x v="7"/>
    <x v="41"/>
    <n v="66.599999999999994"/>
    <n v="2996.9999999999995"/>
    <x v="50"/>
    <d v="2025-02-23T00:00:00"/>
    <s v="M"/>
    <x v="2"/>
    <x v="0"/>
    <s v="California"/>
    <s v="San Diego County"/>
    <x v="2"/>
    <x v="7"/>
    <x v="1"/>
  </r>
  <r>
    <s v="TX501344"/>
    <x v="8"/>
    <x v="2"/>
    <n v="26.4"/>
    <n v="79.199999999999989"/>
    <x v="50"/>
    <d v="2025-02-21T00:00:00"/>
    <s v="F"/>
    <x v="1"/>
    <x v="1"/>
    <s v="California"/>
    <s v="San Diego County"/>
    <x v="3"/>
    <x v="7"/>
    <x v="2"/>
  </r>
  <r>
    <s v="TX501345"/>
    <x v="0"/>
    <x v="1"/>
    <n v="17.2"/>
    <n v="34.4"/>
    <x v="50"/>
    <d v="2025-02-23T00:00:00"/>
    <s v="M"/>
    <x v="2"/>
    <x v="1"/>
    <s v="California"/>
    <s v="San Diego County"/>
    <x v="2"/>
    <x v="7"/>
    <x v="1"/>
  </r>
  <r>
    <s v="TX501346"/>
    <x v="5"/>
    <x v="8"/>
    <n v="58.1"/>
    <n v="464.8"/>
    <x v="50"/>
    <d v="2025-02-23T00:00:00"/>
    <s v="F"/>
    <x v="4"/>
    <x v="0"/>
    <s v="California"/>
    <s v="San Diego County"/>
    <x v="2"/>
    <x v="7"/>
    <x v="2"/>
  </r>
  <r>
    <s v="TX501347"/>
    <x v="15"/>
    <x v="12"/>
    <n v="31.5"/>
    <n v="126"/>
    <x v="50"/>
    <d v="2025-02-23T00:00:00"/>
    <s v="F"/>
    <x v="4"/>
    <x v="4"/>
    <s v="California"/>
    <s v="San Diego County"/>
    <x v="2"/>
    <x v="7"/>
    <x v="2"/>
  </r>
  <r>
    <s v="TX501348"/>
    <x v="0"/>
    <x v="0"/>
    <n v="27.1"/>
    <n v="27.1"/>
    <x v="50"/>
    <d v="2025-02-22T00:00:00"/>
    <s v="F"/>
    <x v="0"/>
    <x v="1"/>
    <s v="California"/>
    <s v="San Francisco"/>
    <x v="1"/>
    <x v="7"/>
    <x v="2"/>
  </r>
  <r>
    <s v="TX501349"/>
    <x v="18"/>
    <x v="12"/>
    <n v="28.5"/>
    <n v="114"/>
    <x v="50"/>
    <d v="2025-02-22T00:00:00"/>
    <s v="M"/>
    <x v="1"/>
    <x v="2"/>
    <s v="California"/>
    <s v="San Mateo County"/>
    <x v="1"/>
    <x v="7"/>
    <x v="1"/>
  </r>
  <r>
    <s v="TX501350"/>
    <x v="10"/>
    <x v="0"/>
    <n v="40.5"/>
    <n v="40.5"/>
    <x v="51"/>
    <d v="2025-02-23T00:00:00"/>
    <s v="O"/>
    <x v="2"/>
    <x v="0"/>
    <s v="California"/>
    <s v="San Mateo County"/>
    <x v="1"/>
    <x v="7"/>
    <x v="3"/>
  </r>
  <r>
    <s v="TX501351"/>
    <x v="2"/>
    <x v="2"/>
    <n v="77.900000000000006"/>
    <n v="233.70000000000002"/>
    <x v="51"/>
    <d v="2025-02-25T00:00:00"/>
    <s v="F"/>
    <x v="1"/>
    <x v="2"/>
    <s v="California"/>
    <s v="Stanislaus County"/>
    <x v="5"/>
    <x v="7"/>
    <x v="2"/>
  </r>
  <r>
    <s v="TX501352"/>
    <x v="18"/>
    <x v="12"/>
    <n v="37.1"/>
    <n v="148.4"/>
    <x v="51"/>
    <d v="2025-02-23T00:00:00"/>
    <s v="M"/>
    <x v="4"/>
    <x v="2"/>
    <s v="California"/>
    <s v="Stanislaus County"/>
    <x v="1"/>
    <x v="7"/>
    <x v="1"/>
  </r>
  <r>
    <s v="TX501353"/>
    <x v="16"/>
    <x v="2"/>
    <n v="51.6"/>
    <n v="154.80000000000001"/>
    <x v="51"/>
    <d v="2025-03-01T00:00:00"/>
    <s v="F"/>
    <x v="0"/>
    <x v="4"/>
    <s v="California"/>
    <s v="Stanislaus County"/>
    <x v="9"/>
    <x v="7"/>
    <x v="2"/>
  </r>
  <r>
    <s v="TX501354"/>
    <x v="7"/>
    <x v="2"/>
    <n v="98"/>
    <n v="294"/>
    <x v="51"/>
    <d v="2025-02-22T00:00:00"/>
    <s v="M"/>
    <x v="1"/>
    <x v="1"/>
    <s v="California"/>
    <s v="Stanislaus County"/>
    <x v="3"/>
    <x v="7"/>
    <x v="1"/>
  </r>
  <r>
    <s v="TX501355"/>
    <x v="6"/>
    <x v="3"/>
    <n v="41.4"/>
    <n v="289.8"/>
    <x v="51"/>
    <d v="2025-02-22T00:00:00"/>
    <s v="M"/>
    <x v="1"/>
    <x v="0"/>
    <s v="California"/>
    <s v="Tulare County"/>
    <x v="3"/>
    <x v="7"/>
    <x v="1"/>
  </r>
  <r>
    <s v="TX501356"/>
    <x v="11"/>
    <x v="8"/>
    <n v="34"/>
    <n v="272"/>
    <x v="51"/>
    <d v="2025-02-26T00:00:00"/>
    <s v="F"/>
    <x v="0"/>
    <x v="2"/>
    <s v="California"/>
    <s v="Tuolumne County"/>
    <x v="0"/>
    <x v="7"/>
    <x v="2"/>
  </r>
  <r>
    <s v="TX501357"/>
    <x v="6"/>
    <x v="0"/>
    <n v="66.3"/>
    <n v="66.3"/>
    <x v="51"/>
    <d v="2025-02-22T00:00:00"/>
    <s v="F"/>
    <x v="1"/>
    <x v="0"/>
    <s v="California"/>
    <s v="Ventura County"/>
    <x v="3"/>
    <x v="7"/>
    <x v="2"/>
  </r>
  <r>
    <s v="TX501358"/>
    <x v="7"/>
    <x v="0"/>
    <n v="33.5"/>
    <n v="33.5"/>
    <x v="51"/>
    <d v="2025-02-25T00:00:00"/>
    <s v="M"/>
    <x v="2"/>
    <x v="0"/>
    <s v="California"/>
    <s v="Ventura County"/>
    <x v="5"/>
    <x v="7"/>
    <x v="1"/>
  </r>
  <r>
    <s v="TX501359"/>
    <x v="12"/>
    <x v="1"/>
    <n v="70.8"/>
    <n v="141.6"/>
    <x v="51"/>
    <d v="2025-02-22T00:00:00"/>
    <s v=""/>
    <x v="0"/>
    <x v="0"/>
    <s v="California"/>
    <s v="Yolo County"/>
    <x v="3"/>
    <x v="7"/>
    <x v="0"/>
  </r>
  <r>
    <s v="TX501360"/>
    <x v="6"/>
    <x v="1"/>
    <n v="127.6"/>
    <n v="255.2"/>
    <x v="51"/>
    <d v="2025-02-22T00:00:00"/>
    <s v="M"/>
    <x v="0"/>
    <x v="0"/>
    <s v="California"/>
    <s v="Alameda County"/>
    <x v="3"/>
    <x v="7"/>
    <x v="1"/>
  </r>
  <r>
    <s v="TX501361"/>
    <x v="6"/>
    <x v="2"/>
    <n v="95.9"/>
    <n v="287.70000000000005"/>
    <x v="51"/>
    <d v="2025-02-22T00:00:00"/>
    <s v="F"/>
    <x v="1"/>
    <x v="1"/>
    <s v="California"/>
    <s v="Alameda County"/>
    <x v="3"/>
    <x v="7"/>
    <x v="2"/>
  </r>
  <r>
    <s v="TX501362"/>
    <x v="2"/>
    <x v="1"/>
    <n v="78.099999999999994"/>
    <n v="156.19999999999999"/>
    <x v="51"/>
    <d v="2025-02-22T00:00:00"/>
    <s v="M"/>
    <x v="0"/>
    <x v="0"/>
    <s v="California"/>
    <s v="Contra Costa County"/>
    <x v="3"/>
    <x v="7"/>
    <x v="1"/>
  </r>
  <r>
    <s v="TX501363"/>
    <x v="13"/>
    <x v="1"/>
    <n v="43.2"/>
    <n v="86.4"/>
    <x v="51"/>
    <d v="2025-02-22T00:00:00"/>
    <s v=""/>
    <x v="1"/>
    <x v="1"/>
    <s v="California"/>
    <s v="Contra Costa County"/>
    <x v="3"/>
    <x v="7"/>
    <x v="0"/>
  </r>
  <r>
    <s v="TX501364"/>
    <x v="8"/>
    <x v="12"/>
    <n v="28.4"/>
    <n v="113.6"/>
    <x v="51"/>
    <d v="2025-02-27T00:00:00"/>
    <s v="M"/>
    <x v="2"/>
    <x v="0"/>
    <s v="California"/>
    <s v="Los Angeles County"/>
    <x v="4"/>
    <x v="7"/>
    <x v="1"/>
  </r>
  <r>
    <s v="TX501365"/>
    <x v="2"/>
    <x v="1"/>
    <n v="81.7"/>
    <n v="163.4"/>
    <x v="51"/>
    <d v="2025-02-21T00:00:00"/>
    <s v="M"/>
    <x v="0"/>
    <x v="0"/>
    <s v="California"/>
    <s v="Los Angeles County"/>
    <x v="7"/>
    <x v="7"/>
    <x v="1"/>
  </r>
  <r>
    <s v="TX501366"/>
    <x v="18"/>
    <x v="1"/>
    <n v="56.7"/>
    <n v="113.4"/>
    <x v="51"/>
    <d v="2025-02-23T00:00:00"/>
    <s v=""/>
    <x v="0"/>
    <x v="2"/>
    <s v="California"/>
    <s v="Los Angeles County"/>
    <x v="1"/>
    <x v="7"/>
    <x v="0"/>
  </r>
  <r>
    <s v="TX501367"/>
    <x v="3"/>
    <x v="12"/>
    <n v="66.5"/>
    <n v="266"/>
    <x v="51"/>
    <d v="2025-02-21T00:00:00"/>
    <s v="F"/>
    <x v="0"/>
    <x v="2"/>
    <s v="California"/>
    <s v="Los Angeles County"/>
    <x v="7"/>
    <x v="7"/>
    <x v="2"/>
  </r>
  <r>
    <s v="TX501368"/>
    <x v="1"/>
    <x v="1"/>
    <n v="105.3"/>
    <n v="210.6"/>
    <x v="51"/>
    <d v="2025-02-25T00:00:00"/>
    <s v="M"/>
    <x v="0"/>
    <x v="1"/>
    <s v="California"/>
    <s v="Los Angeles County"/>
    <x v="5"/>
    <x v="7"/>
    <x v="1"/>
  </r>
  <r>
    <s v="TX501369"/>
    <x v="10"/>
    <x v="9"/>
    <n v="33.799999999999997"/>
    <n v="169"/>
    <x v="51"/>
    <d v="2025-02-26T00:00:00"/>
    <s v="M"/>
    <x v="0"/>
    <x v="0"/>
    <s v="California"/>
    <s v="Los Angeles County"/>
    <x v="0"/>
    <x v="7"/>
    <x v="1"/>
  </r>
  <r>
    <s v="TX501370"/>
    <x v="6"/>
    <x v="2"/>
    <n v="63.4"/>
    <n v="190.2"/>
    <x v="51"/>
    <d v="2025-02-26T00:00:00"/>
    <s v="M"/>
    <x v="3"/>
    <x v="1"/>
    <s v="California"/>
    <s v="Merced County"/>
    <x v="0"/>
    <x v="7"/>
    <x v="1"/>
  </r>
  <r>
    <s v="TX501371"/>
    <x v="6"/>
    <x v="2"/>
    <n v="49"/>
    <n v="147"/>
    <x v="51"/>
    <d v="2025-02-25T00:00:00"/>
    <s v="M"/>
    <x v="3"/>
    <x v="0"/>
    <s v="California"/>
    <s v="Monterey County"/>
    <x v="5"/>
    <x v="7"/>
    <x v="1"/>
  </r>
  <r>
    <s v="TX501372"/>
    <x v="1"/>
    <x v="1"/>
    <n v="40"/>
    <n v="80"/>
    <x v="51"/>
    <d v="2025-02-22T00:00:00"/>
    <s v="F"/>
    <x v="4"/>
    <x v="1"/>
    <s v="California"/>
    <s v="Riverside County"/>
    <x v="3"/>
    <x v="7"/>
    <x v="2"/>
  </r>
  <r>
    <s v="TX501373"/>
    <x v="6"/>
    <x v="12"/>
    <n v="86.3"/>
    <n v="345.2"/>
    <x v="51"/>
    <d v="2025-02-22T00:00:00"/>
    <s v="O"/>
    <x v="0"/>
    <x v="0"/>
    <s v="California"/>
    <s v="Sacramento County"/>
    <x v="3"/>
    <x v="7"/>
    <x v="3"/>
  </r>
  <r>
    <s v="TX501374"/>
    <x v="6"/>
    <x v="0"/>
    <n v="51.6"/>
    <n v="51.6"/>
    <x v="51"/>
    <d v="2025-02-23T00:00:00"/>
    <s v="F"/>
    <x v="2"/>
    <x v="2"/>
    <s v="California"/>
    <s v="Sacramento County"/>
    <x v="1"/>
    <x v="7"/>
    <x v="2"/>
  </r>
  <r>
    <s v="TX501375"/>
    <x v="10"/>
    <x v="2"/>
    <n v="26.7"/>
    <n v="80.099999999999994"/>
    <x v="51"/>
    <d v="2025-02-26T00:00:00"/>
    <s v="F"/>
    <x v="2"/>
    <x v="1"/>
    <s v="California"/>
    <s v="Sacramento County"/>
    <x v="0"/>
    <x v="7"/>
    <x v="2"/>
  </r>
  <r>
    <s v="TX501376"/>
    <x v="18"/>
    <x v="1"/>
    <n v="68.099999999999994"/>
    <n v="136.19999999999999"/>
    <x v="51"/>
    <d v="2025-02-22T00:00:00"/>
    <s v="M"/>
    <x v="0"/>
    <x v="1"/>
    <s v="California"/>
    <s v="Sacramento County"/>
    <x v="3"/>
    <x v="7"/>
    <x v="1"/>
  </r>
  <r>
    <s v="TX501377"/>
    <x v="1"/>
    <x v="0"/>
    <n v="81.7"/>
    <n v="81.7"/>
    <x v="51"/>
    <d v="2025-02-22T00:00:00"/>
    <s v="M"/>
    <x v="0"/>
    <x v="0"/>
    <s v="California"/>
    <s v="San Bernardino County"/>
    <x v="3"/>
    <x v="7"/>
    <x v="1"/>
  </r>
  <r>
    <s v="TX501378"/>
    <x v="18"/>
    <x v="7"/>
    <n v="25.1"/>
    <n v="251"/>
    <x v="51"/>
    <d v="2025-02-24T00:00:00"/>
    <s v="M"/>
    <x v="3"/>
    <x v="1"/>
    <s v="California"/>
    <s v="San Diego County"/>
    <x v="2"/>
    <x v="7"/>
    <x v="1"/>
  </r>
  <r>
    <s v="TX501379"/>
    <x v="8"/>
    <x v="0"/>
    <n v="20.2"/>
    <n v="20.2"/>
    <x v="51"/>
    <d v="2025-02-25T00:00:00"/>
    <s v="F"/>
    <x v="0"/>
    <x v="0"/>
    <s v="California"/>
    <s v="San Diego County"/>
    <x v="5"/>
    <x v="7"/>
    <x v="2"/>
  </r>
  <r>
    <s v="TX501380"/>
    <x v="8"/>
    <x v="2"/>
    <n v="15.4"/>
    <n v="46.2"/>
    <x v="51"/>
    <d v="2025-02-22T00:00:00"/>
    <s v="M"/>
    <x v="1"/>
    <x v="2"/>
    <s v="California"/>
    <s v="San Diego County"/>
    <x v="3"/>
    <x v="7"/>
    <x v="1"/>
  </r>
  <r>
    <s v="TX501381"/>
    <x v="10"/>
    <x v="0"/>
    <n v="59.2"/>
    <n v="59.2"/>
    <x v="51"/>
    <d v="2025-02-22T00:00:00"/>
    <s v="M"/>
    <x v="2"/>
    <x v="2"/>
    <s v="California"/>
    <s v="San Francisco"/>
    <x v="3"/>
    <x v="7"/>
    <x v="1"/>
  </r>
  <r>
    <s v="TX501382"/>
    <x v="0"/>
    <x v="0"/>
    <n v="46.7"/>
    <n v="46.7"/>
    <x v="51"/>
    <d v="2025-02-26T00:00:00"/>
    <s v="M"/>
    <x v="0"/>
    <x v="0"/>
    <s v="California"/>
    <s v="San Francisco"/>
    <x v="0"/>
    <x v="7"/>
    <x v="1"/>
  </r>
  <r>
    <s v="TX501383"/>
    <x v="6"/>
    <x v="20"/>
    <n v="41.6"/>
    <n v="624"/>
    <x v="51"/>
    <d v="2025-02-23T00:00:00"/>
    <s v="M"/>
    <x v="1"/>
    <x v="0"/>
    <s v="California"/>
    <s v="San Joaquin County"/>
    <x v="1"/>
    <x v="7"/>
    <x v="1"/>
  </r>
  <r>
    <s v="TX501384"/>
    <x v="8"/>
    <x v="1"/>
    <n v="19.2"/>
    <n v="38.4"/>
    <x v="51"/>
    <d v="2025-02-24T00:00:00"/>
    <s v="M"/>
    <x v="4"/>
    <x v="2"/>
    <s v="California"/>
    <s v="San Mateo County"/>
    <x v="2"/>
    <x v="7"/>
    <x v="1"/>
  </r>
  <r>
    <s v="TX501385"/>
    <x v="17"/>
    <x v="3"/>
    <n v="41.8"/>
    <n v="292.59999999999997"/>
    <x v="51"/>
    <d v="2025-02-23T00:00:00"/>
    <s v="F"/>
    <x v="2"/>
    <x v="0"/>
    <s v="California"/>
    <s v="Santa Clara County"/>
    <x v="1"/>
    <x v="7"/>
    <x v="2"/>
  </r>
  <r>
    <s v="TX501386"/>
    <x v="8"/>
    <x v="13"/>
    <n v="37.4"/>
    <n v="224.39999999999998"/>
    <x v="51"/>
    <d v="2025-02-23T00:00:00"/>
    <s v="M"/>
    <x v="0"/>
    <x v="2"/>
    <s v="California"/>
    <s v="Santa Clara County"/>
    <x v="1"/>
    <x v="7"/>
    <x v="1"/>
  </r>
  <r>
    <s v="TX501387"/>
    <x v="10"/>
    <x v="2"/>
    <n v="60.2"/>
    <n v="180.60000000000002"/>
    <x v="51"/>
    <d v="2025-02-24T00:00:00"/>
    <s v="M"/>
    <x v="4"/>
    <x v="1"/>
    <s v="California"/>
    <s v="Solano County"/>
    <x v="2"/>
    <x v="7"/>
    <x v="1"/>
  </r>
  <r>
    <s v="TX501388"/>
    <x v="9"/>
    <x v="1"/>
    <n v="91.5"/>
    <n v="183"/>
    <x v="52"/>
    <d v="2025-02-23T00:00:00"/>
    <s v="M"/>
    <x v="0"/>
    <x v="0"/>
    <s v="California"/>
    <s v="Ventura County"/>
    <x v="3"/>
    <x v="7"/>
    <x v="1"/>
  </r>
  <r>
    <s v="TX501389"/>
    <x v="3"/>
    <x v="9"/>
    <n v="55.7"/>
    <n v="278.5"/>
    <x v="52"/>
    <d v="2025-02-24T00:00:00"/>
    <s v=""/>
    <x v="1"/>
    <x v="2"/>
    <s v="California"/>
    <s v="Alameda County"/>
    <x v="1"/>
    <x v="7"/>
    <x v="0"/>
  </r>
  <r>
    <s v="TX501390"/>
    <x v="7"/>
    <x v="1"/>
    <n v="76.7"/>
    <n v="153.4"/>
    <x v="52"/>
    <d v="2025-02-24T00:00:00"/>
    <s v="M"/>
    <x v="0"/>
    <x v="1"/>
    <s v="California"/>
    <s v="Alameda County"/>
    <x v="1"/>
    <x v="7"/>
    <x v="1"/>
  </r>
  <r>
    <s v="TX501391"/>
    <x v="8"/>
    <x v="38"/>
    <n v="28.2"/>
    <n v="592.19999999999993"/>
    <x v="52"/>
    <d v="2025-02-27T00:00:00"/>
    <s v="M"/>
    <x v="2"/>
    <x v="0"/>
    <s v="California"/>
    <s v="Contra Costa County"/>
    <x v="0"/>
    <x v="7"/>
    <x v="1"/>
  </r>
  <r>
    <s v="TX501392"/>
    <x v="7"/>
    <x v="9"/>
    <n v="93.2"/>
    <n v="466"/>
    <x v="52"/>
    <d v="2025-02-24T00:00:00"/>
    <s v="F"/>
    <x v="4"/>
    <x v="2"/>
    <s v="California"/>
    <s v="Contra Costa County"/>
    <x v="1"/>
    <x v="7"/>
    <x v="2"/>
  </r>
  <r>
    <s v="TX501393"/>
    <x v="17"/>
    <x v="0"/>
    <n v="33.299999999999997"/>
    <n v="33.299999999999997"/>
    <x v="52"/>
    <d v="2025-02-23T00:00:00"/>
    <s v="M"/>
    <x v="4"/>
    <x v="0"/>
    <s v="California"/>
    <s v="Fresno County"/>
    <x v="3"/>
    <x v="7"/>
    <x v="1"/>
  </r>
  <r>
    <s v="TX501394"/>
    <x v="10"/>
    <x v="1"/>
    <n v="39.1"/>
    <n v="78.2"/>
    <x v="52"/>
    <d v="2025-02-25T00:00:00"/>
    <s v="M"/>
    <x v="0"/>
    <x v="0"/>
    <s v="California"/>
    <s v="Humboldt County"/>
    <x v="2"/>
    <x v="7"/>
    <x v="1"/>
  </r>
  <r>
    <s v="TX501395"/>
    <x v="7"/>
    <x v="4"/>
    <n v="45.3"/>
    <n v="543.59999999999991"/>
    <x v="52"/>
    <d v="2025-02-23T00:00:00"/>
    <s v="M"/>
    <x v="2"/>
    <x v="0"/>
    <s v="California"/>
    <s v="Imperial County"/>
    <x v="3"/>
    <x v="7"/>
    <x v="1"/>
  </r>
  <r>
    <s v="TX501396"/>
    <x v="9"/>
    <x v="3"/>
    <n v="33.9"/>
    <n v="237.29999999999998"/>
    <x v="52"/>
    <d v="2025-02-23T00:00:00"/>
    <s v="M"/>
    <x v="4"/>
    <x v="0"/>
    <s v="California"/>
    <s v="Imperial County"/>
    <x v="3"/>
    <x v="7"/>
    <x v="1"/>
  </r>
  <r>
    <s v="TX501397"/>
    <x v="8"/>
    <x v="2"/>
    <n v="19"/>
    <n v="57"/>
    <x v="52"/>
    <d v="2025-02-23T00:00:00"/>
    <s v="M"/>
    <x v="0"/>
    <x v="2"/>
    <s v="California"/>
    <s v="Inyo County"/>
    <x v="3"/>
    <x v="7"/>
    <x v="1"/>
  </r>
  <r>
    <s v="TX501398"/>
    <x v="4"/>
    <x v="0"/>
    <n v="41.9"/>
    <n v="41.9"/>
    <x v="52"/>
    <d v="2025-02-25T00:00:00"/>
    <s v="F"/>
    <x v="2"/>
    <x v="0"/>
    <s v="California"/>
    <s v="Kern County"/>
    <x v="2"/>
    <x v="7"/>
    <x v="2"/>
  </r>
  <r>
    <s v="TX501399"/>
    <x v="1"/>
    <x v="12"/>
    <n v="37.5"/>
    <n v="150"/>
    <x v="52"/>
    <d v="2025-02-22T00:00:00"/>
    <s v="F"/>
    <x v="0"/>
    <x v="0"/>
    <s v="California"/>
    <s v="Los Angeles County"/>
    <x v="7"/>
    <x v="7"/>
    <x v="2"/>
  </r>
  <r>
    <s v="TX501400"/>
    <x v="0"/>
    <x v="1"/>
    <n v="40.799999999999997"/>
    <n v="81.599999999999994"/>
    <x v="52"/>
    <d v="2025-02-25T00:00:00"/>
    <s v="M"/>
    <x v="0"/>
    <x v="0"/>
    <s v="California"/>
    <s v="Los Angeles County"/>
    <x v="2"/>
    <x v="7"/>
    <x v="1"/>
  </r>
  <r>
    <s v="TX501401"/>
    <x v="0"/>
    <x v="12"/>
    <n v="23.1"/>
    <n v="92.4"/>
    <x v="52"/>
    <d v="2025-02-23T00:00:00"/>
    <s v="F"/>
    <x v="4"/>
    <x v="0"/>
    <s v="California"/>
    <s v="Los Angeles County"/>
    <x v="3"/>
    <x v="7"/>
    <x v="2"/>
  </r>
  <r>
    <s v="TX501402"/>
    <x v="8"/>
    <x v="9"/>
    <n v="39.299999999999997"/>
    <n v="196.5"/>
    <x v="52"/>
    <d v="2025-02-23T00:00:00"/>
    <s v="F"/>
    <x v="0"/>
    <x v="0"/>
    <s v="California"/>
    <s v="Los Angeles County"/>
    <x v="3"/>
    <x v="7"/>
    <x v="2"/>
  </r>
  <r>
    <s v="TX501403"/>
    <x v="2"/>
    <x v="12"/>
    <n v="85.2"/>
    <n v="340.8"/>
    <x v="52"/>
    <d v="2025-02-27T00:00:00"/>
    <s v="M"/>
    <x v="2"/>
    <x v="0"/>
    <s v="California"/>
    <s v="Los Angeles County"/>
    <x v="0"/>
    <x v="7"/>
    <x v="1"/>
  </r>
  <r>
    <s v="TX501404"/>
    <x v="8"/>
    <x v="13"/>
    <n v="16"/>
    <n v="96"/>
    <x v="52"/>
    <d v="2025-02-25T00:00:00"/>
    <s v="M"/>
    <x v="1"/>
    <x v="0"/>
    <s v="California"/>
    <s v="Los Angeles County"/>
    <x v="2"/>
    <x v="7"/>
    <x v="1"/>
  </r>
  <r>
    <s v="TX501405"/>
    <x v="1"/>
    <x v="1"/>
    <n v="33.799999999999997"/>
    <n v="67.599999999999994"/>
    <x v="52"/>
    <d v="2025-02-26T00:00:00"/>
    <s v="F"/>
    <x v="1"/>
    <x v="0"/>
    <s v="California"/>
    <s v="Los Angeles County"/>
    <x v="5"/>
    <x v="7"/>
    <x v="2"/>
  </r>
  <r>
    <s v="TX501406"/>
    <x v="3"/>
    <x v="0"/>
    <n v="70"/>
    <n v="70"/>
    <x v="52"/>
    <d v="2025-02-23T00:00:00"/>
    <s v="F"/>
    <x v="0"/>
    <x v="0"/>
    <s v="California"/>
    <s v="Los Angeles County"/>
    <x v="3"/>
    <x v="7"/>
    <x v="2"/>
  </r>
  <r>
    <s v="TX501407"/>
    <x v="9"/>
    <x v="0"/>
    <n v="88"/>
    <n v="88"/>
    <x v="52"/>
    <d v="2025-02-27T00:00:00"/>
    <s v="F"/>
    <x v="3"/>
    <x v="0"/>
    <s v="California"/>
    <s v="Los Angeles County"/>
    <x v="0"/>
    <x v="7"/>
    <x v="2"/>
  </r>
  <r>
    <s v="TX501408"/>
    <x v="2"/>
    <x v="2"/>
    <n v="74.099999999999994"/>
    <n v="222.29999999999998"/>
    <x v="52"/>
    <d v="2025-02-22T00:00:00"/>
    <s v="M"/>
    <x v="4"/>
    <x v="1"/>
    <s v="California"/>
    <s v="Los Angeles County"/>
    <x v="7"/>
    <x v="7"/>
    <x v="1"/>
  </r>
  <r>
    <s v="TX501409"/>
    <x v="2"/>
    <x v="0"/>
    <n v="161.9"/>
    <n v="161.9"/>
    <x v="52"/>
    <d v="2025-02-24T00:00:00"/>
    <s v="M"/>
    <x v="2"/>
    <x v="0"/>
    <s v="California"/>
    <s v="Los Angeles County"/>
    <x v="1"/>
    <x v="7"/>
    <x v="1"/>
  </r>
  <r>
    <s v="TX501410"/>
    <x v="4"/>
    <x v="1"/>
    <n v="44"/>
    <n v="88"/>
    <x v="52"/>
    <d v="2025-02-23T00:00:00"/>
    <s v="O"/>
    <x v="4"/>
    <x v="1"/>
    <s v="California"/>
    <s v="Los Angeles County"/>
    <x v="3"/>
    <x v="7"/>
    <x v="3"/>
  </r>
  <r>
    <s v="TX501411"/>
    <x v="11"/>
    <x v="0"/>
    <n v="32.1"/>
    <n v="32.1"/>
    <x v="52"/>
    <d v="2025-02-22T00:00:00"/>
    <s v="F"/>
    <x v="3"/>
    <x v="3"/>
    <s v="California"/>
    <s v="Los Angeles County"/>
    <x v="7"/>
    <x v="7"/>
    <x v="2"/>
  </r>
  <r>
    <s v="TX501412"/>
    <x v="2"/>
    <x v="12"/>
    <n v="104.8"/>
    <n v="419.2"/>
    <x v="53"/>
    <d v="2025-02-25T00:00:00"/>
    <s v="O"/>
    <x v="0"/>
    <x v="0"/>
    <s v="California"/>
    <s v="Los Angeles County"/>
    <x v="1"/>
    <x v="8"/>
    <x v="3"/>
  </r>
  <r>
    <s v="TX501413"/>
    <x v="9"/>
    <x v="13"/>
    <n v="67.400000000000006"/>
    <n v="404.40000000000003"/>
    <x v="53"/>
    <d v="2025-02-24T00:00:00"/>
    <s v="F"/>
    <x v="3"/>
    <x v="0"/>
    <s v="California"/>
    <s v="Los Angeles County"/>
    <x v="3"/>
    <x v="8"/>
    <x v="2"/>
  </r>
  <r>
    <s v="TX501414"/>
    <x v="6"/>
    <x v="1"/>
    <n v="115.2"/>
    <n v="230.4"/>
    <x v="53"/>
    <d v="2025-02-24T00:00:00"/>
    <s v="F"/>
    <x v="1"/>
    <x v="0"/>
    <s v="California"/>
    <s v="Nevada County"/>
    <x v="3"/>
    <x v="8"/>
    <x v="2"/>
  </r>
  <r>
    <s v="TX501415"/>
    <x v="8"/>
    <x v="19"/>
    <n v="15.5"/>
    <n v="449.5"/>
    <x v="53"/>
    <d v="2025-02-25T00:00:00"/>
    <s v="F"/>
    <x v="0"/>
    <x v="1"/>
    <s v="California"/>
    <s v="Riverside County"/>
    <x v="1"/>
    <x v="8"/>
    <x v="2"/>
  </r>
  <r>
    <s v="TX501416"/>
    <x v="6"/>
    <x v="5"/>
    <n v="66.400000000000006"/>
    <n v="730.40000000000009"/>
    <x v="53"/>
    <d v="2025-02-25T00:00:00"/>
    <s v="F"/>
    <x v="0"/>
    <x v="0"/>
    <s v="California"/>
    <s v="Sacramento County"/>
    <x v="1"/>
    <x v="8"/>
    <x v="2"/>
  </r>
  <r>
    <s v="TX501417"/>
    <x v="9"/>
    <x v="4"/>
    <n v="68.099999999999994"/>
    <n v="817.19999999999993"/>
    <x v="53"/>
    <d v="2025-02-24T00:00:00"/>
    <s v="F"/>
    <x v="2"/>
    <x v="0"/>
    <s v="California"/>
    <s v="San Diego County"/>
    <x v="3"/>
    <x v="8"/>
    <x v="2"/>
  </r>
  <r>
    <s v="TX501418"/>
    <x v="8"/>
    <x v="9"/>
    <n v="32.5"/>
    <n v="162.5"/>
    <x v="53"/>
    <d v="2025-02-27T00:00:00"/>
    <s v="M"/>
    <x v="2"/>
    <x v="1"/>
    <s v="California"/>
    <s v="San Diego County"/>
    <x v="5"/>
    <x v="8"/>
    <x v="1"/>
  </r>
  <r>
    <s v="TX501419"/>
    <x v="15"/>
    <x v="2"/>
    <n v="61.2"/>
    <n v="183.60000000000002"/>
    <x v="53"/>
    <d v="2025-02-25T00:00:00"/>
    <s v="F"/>
    <x v="1"/>
    <x v="1"/>
    <s v="California"/>
    <s v="San Diego County"/>
    <x v="1"/>
    <x v="8"/>
    <x v="2"/>
  </r>
  <r>
    <s v="TX501420"/>
    <x v="9"/>
    <x v="1"/>
    <n v="54.2"/>
    <n v="108.4"/>
    <x v="53"/>
    <d v="2025-02-24T00:00:00"/>
    <s v="F"/>
    <x v="1"/>
    <x v="0"/>
    <s v="California"/>
    <s v="San Diego County"/>
    <x v="3"/>
    <x v="8"/>
    <x v="2"/>
  </r>
  <r>
    <s v="TX501421"/>
    <x v="11"/>
    <x v="8"/>
    <n v="28.7"/>
    <n v="229.6"/>
    <x v="53"/>
    <d v="2025-02-25T00:00:00"/>
    <s v="M"/>
    <x v="1"/>
    <x v="0"/>
    <s v="California"/>
    <s v="San Mateo County"/>
    <x v="1"/>
    <x v="8"/>
    <x v="1"/>
  </r>
  <r>
    <s v="TX501422"/>
    <x v="12"/>
    <x v="13"/>
    <n v="38.200000000000003"/>
    <n v="229.20000000000002"/>
    <x v="53"/>
    <d v="2025-02-27T00:00:00"/>
    <s v="F"/>
    <x v="0"/>
    <x v="1"/>
    <s v="California"/>
    <s v="San Mateo County"/>
    <x v="5"/>
    <x v="8"/>
    <x v="2"/>
  </r>
  <r>
    <s v="TX501423"/>
    <x v="8"/>
    <x v="4"/>
    <n v="17.600000000000001"/>
    <n v="211.20000000000002"/>
    <x v="53"/>
    <d v="2025-02-24T00:00:00"/>
    <s v="F"/>
    <x v="2"/>
    <x v="1"/>
    <s v="California"/>
    <s v="San Mateo County"/>
    <x v="3"/>
    <x v="8"/>
    <x v="2"/>
  </r>
  <r>
    <s v="TX501424"/>
    <x v="10"/>
    <x v="2"/>
    <n v="74.599999999999994"/>
    <n v="223.79999999999998"/>
    <x v="53"/>
    <d v="2025-02-23T00:00:00"/>
    <s v="F"/>
    <x v="2"/>
    <x v="0"/>
    <s v="California"/>
    <s v="Santa Clara County"/>
    <x v="7"/>
    <x v="8"/>
    <x v="2"/>
  </r>
  <r>
    <s v="TX501425"/>
    <x v="16"/>
    <x v="20"/>
    <n v="72.599999999999994"/>
    <n v="1089"/>
    <x v="53"/>
    <d v="2025-02-23T00:00:00"/>
    <s v=""/>
    <x v="1"/>
    <x v="1"/>
    <s v="California"/>
    <s v="Santa Clara County"/>
    <x v="7"/>
    <x v="8"/>
    <x v="0"/>
  </r>
  <r>
    <s v="TX501426"/>
    <x v="7"/>
    <x v="0"/>
    <n v="62.3"/>
    <n v="62.3"/>
    <x v="53"/>
    <d v="2025-02-24T00:00:00"/>
    <s v="F"/>
    <x v="1"/>
    <x v="0"/>
    <s v="California"/>
    <s v="Santa Clara County"/>
    <x v="3"/>
    <x v="8"/>
    <x v="2"/>
  </r>
  <r>
    <s v="TX501427"/>
    <x v="3"/>
    <x v="2"/>
    <n v="33.799999999999997"/>
    <n v="101.39999999999999"/>
    <x v="53"/>
    <d v="2025-02-25T00:00:00"/>
    <s v="M"/>
    <x v="0"/>
    <x v="2"/>
    <s v="California"/>
    <s v="Tulare County"/>
    <x v="1"/>
    <x v="8"/>
    <x v="1"/>
  </r>
  <r>
    <s v="TX501428"/>
    <x v="9"/>
    <x v="0"/>
    <n v="85.7"/>
    <n v="85.7"/>
    <x v="53"/>
    <d v="2025-02-26T00:00:00"/>
    <s v="M"/>
    <x v="3"/>
    <x v="1"/>
    <s v="California"/>
    <s v="Alameda County"/>
    <x v="2"/>
    <x v="8"/>
    <x v="1"/>
  </r>
  <r>
    <s v="TX501429"/>
    <x v="6"/>
    <x v="1"/>
    <n v="92.1"/>
    <n v="184.2"/>
    <x v="53"/>
    <d v="2025-02-25T00:00:00"/>
    <s v="M"/>
    <x v="1"/>
    <x v="0"/>
    <s v="California"/>
    <s v="Alameda County"/>
    <x v="1"/>
    <x v="8"/>
    <x v="1"/>
  </r>
  <r>
    <s v="TX501430"/>
    <x v="16"/>
    <x v="2"/>
    <n v="65.099999999999994"/>
    <n v="195.29999999999998"/>
    <x v="53"/>
    <d v="2025-02-26T00:00:00"/>
    <s v="M"/>
    <x v="0"/>
    <x v="0"/>
    <s v="California"/>
    <s v="Contra Costa County"/>
    <x v="2"/>
    <x v="8"/>
    <x v="1"/>
  </r>
  <r>
    <s v="TX501431"/>
    <x v="9"/>
    <x v="3"/>
    <n v="20.3"/>
    <n v="142.1"/>
    <x v="53"/>
    <d v="2025-02-24T00:00:00"/>
    <s v="F"/>
    <x v="2"/>
    <x v="2"/>
    <s v="California"/>
    <s v="Fresno County"/>
    <x v="3"/>
    <x v="8"/>
    <x v="2"/>
  </r>
  <r>
    <s v="TX501432"/>
    <x v="19"/>
    <x v="1"/>
    <n v="29.8"/>
    <n v="59.6"/>
    <x v="53"/>
    <d v="2025-02-25T00:00:00"/>
    <s v="F"/>
    <x v="1"/>
    <x v="2"/>
    <s v="California"/>
    <s v="Kings County"/>
    <x v="1"/>
    <x v="8"/>
    <x v="2"/>
  </r>
  <r>
    <s v="TX501433"/>
    <x v="0"/>
    <x v="1"/>
    <n v="24.2"/>
    <n v="48.4"/>
    <x v="53"/>
    <d v="2025-02-25T00:00:00"/>
    <s v="F"/>
    <x v="3"/>
    <x v="2"/>
    <s v="California"/>
    <s v="Los Angeles County"/>
    <x v="1"/>
    <x v="8"/>
    <x v="2"/>
  </r>
  <r>
    <s v="TX501434"/>
    <x v="3"/>
    <x v="0"/>
    <n v="57.3"/>
    <n v="57.3"/>
    <x v="53"/>
    <d v="2025-02-25T00:00:00"/>
    <s v="M"/>
    <x v="0"/>
    <x v="0"/>
    <s v="California"/>
    <s v="Los Angeles County"/>
    <x v="1"/>
    <x v="8"/>
    <x v="1"/>
  </r>
  <r>
    <s v="TX501435"/>
    <x v="2"/>
    <x v="0"/>
    <n v="108.9"/>
    <n v="108.9"/>
    <x v="53"/>
    <d v="2025-02-25T00:00:00"/>
    <s v="F"/>
    <x v="1"/>
    <x v="0"/>
    <s v="California"/>
    <s v="Los Angeles County"/>
    <x v="1"/>
    <x v="8"/>
    <x v="2"/>
  </r>
  <r>
    <s v="TX501436"/>
    <x v="7"/>
    <x v="9"/>
    <n v="50.7"/>
    <n v="253.5"/>
    <x v="53"/>
    <d v="2025-02-24T00:00:00"/>
    <s v="F"/>
    <x v="0"/>
    <x v="0"/>
    <s v="California"/>
    <s v="Los Angeles County"/>
    <x v="3"/>
    <x v="8"/>
    <x v="2"/>
  </r>
  <r>
    <s v="TX501437"/>
    <x v="7"/>
    <x v="11"/>
    <n v="66.099999999999994"/>
    <n v="594.9"/>
    <x v="53"/>
    <d v="2025-03-09T00:00:00"/>
    <s v="F"/>
    <x v="1"/>
    <x v="0"/>
    <s v="California"/>
    <s v="Los Angeles County"/>
    <x v="12"/>
    <x v="8"/>
    <x v="2"/>
  </r>
  <r>
    <s v="TX501438"/>
    <x v="12"/>
    <x v="9"/>
    <n v="36.700000000000003"/>
    <n v="183.5"/>
    <x v="53"/>
    <d v="2025-02-27T00:00:00"/>
    <s v="F"/>
    <x v="4"/>
    <x v="0"/>
    <s v="California"/>
    <s v="Los Angeles County"/>
    <x v="5"/>
    <x v="8"/>
    <x v="2"/>
  </r>
  <r>
    <s v="TX501439"/>
    <x v="8"/>
    <x v="14"/>
    <n v="19.3"/>
    <n v="328.1"/>
    <x v="53"/>
    <d v="2025-02-25T00:00:00"/>
    <s v="M"/>
    <x v="0"/>
    <x v="0"/>
    <s v="California"/>
    <s v="Marin County"/>
    <x v="1"/>
    <x v="8"/>
    <x v="1"/>
  </r>
  <r>
    <s v="TX501440"/>
    <x v="8"/>
    <x v="12"/>
    <n v="20.7"/>
    <n v="82.8"/>
    <x v="53"/>
    <d v="2025-02-24T00:00:00"/>
    <s v="M"/>
    <x v="1"/>
    <x v="2"/>
    <s v="California"/>
    <s v="Sacramento County"/>
    <x v="3"/>
    <x v="8"/>
    <x v="1"/>
  </r>
  <r>
    <s v="TX501441"/>
    <x v="5"/>
    <x v="2"/>
    <n v="54.7"/>
    <n v="164.10000000000002"/>
    <x v="53"/>
    <d v="2025-02-23T00:00:00"/>
    <s v="O"/>
    <x v="1"/>
    <x v="4"/>
    <s v="California"/>
    <s v="Sacramento County"/>
    <x v="7"/>
    <x v="8"/>
    <x v="3"/>
  </r>
  <r>
    <s v="TX501442"/>
    <x v="4"/>
    <x v="1"/>
    <n v="19.8"/>
    <n v="39.6"/>
    <x v="53"/>
    <d v="2025-02-27T00:00:00"/>
    <s v="F"/>
    <x v="4"/>
    <x v="1"/>
    <s v="California"/>
    <s v="San Diego County"/>
    <x v="5"/>
    <x v="8"/>
    <x v="2"/>
  </r>
  <r>
    <s v="TX501443"/>
    <x v="7"/>
    <x v="0"/>
    <n v="41.1"/>
    <n v="41.1"/>
    <x v="53"/>
    <d v="2025-02-25T00:00:00"/>
    <s v="F"/>
    <x v="0"/>
    <x v="2"/>
    <s v="California"/>
    <s v="San Diego County"/>
    <x v="1"/>
    <x v="8"/>
    <x v="2"/>
  </r>
  <r>
    <s v="TX501444"/>
    <x v="11"/>
    <x v="8"/>
    <n v="43.5"/>
    <n v="348"/>
    <x v="53"/>
    <d v="2025-02-27T00:00:00"/>
    <s v="F"/>
    <x v="3"/>
    <x v="0"/>
    <s v="California"/>
    <s v="San Diego County"/>
    <x v="5"/>
    <x v="8"/>
    <x v="2"/>
  </r>
  <r>
    <s v="TX501445"/>
    <x v="8"/>
    <x v="21"/>
    <n v="19"/>
    <n v="266"/>
    <x v="53"/>
    <d v="2025-02-24T00:00:00"/>
    <s v="M"/>
    <x v="0"/>
    <x v="0"/>
    <s v="California"/>
    <s v="San Joaquin County"/>
    <x v="3"/>
    <x v="8"/>
    <x v="1"/>
  </r>
  <r>
    <s v="TX501446"/>
    <x v="2"/>
    <x v="12"/>
    <n v="51.4"/>
    <n v="205.6"/>
    <x v="53"/>
    <d v="2025-02-23T00:00:00"/>
    <s v="F"/>
    <x v="0"/>
    <x v="0"/>
    <s v="California"/>
    <s v="San Joaquin County"/>
    <x v="7"/>
    <x v="8"/>
    <x v="2"/>
  </r>
  <r>
    <s v="TX501447"/>
    <x v="10"/>
    <x v="1"/>
    <n v="39.799999999999997"/>
    <n v="79.599999999999994"/>
    <x v="53"/>
    <d v="2025-02-26T00:00:00"/>
    <s v="M"/>
    <x v="3"/>
    <x v="1"/>
    <s v="California"/>
    <s v="Ventura County"/>
    <x v="2"/>
    <x v="8"/>
    <x v="1"/>
  </r>
  <r>
    <s v="TX501448"/>
    <x v="6"/>
    <x v="9"/>
    <n v="61"/>
    <n v="305"/>
    <x v="53"/>
    <d v="2025-02-24T00:00:00"/>
    <s v=""/>
    <x v="0"/>
    <x v="2"/>
    <s v="California"/>
    <s v="Alameda County"/>
    <x v="3"/>
    <x v="8"/>
    <x v="0"/>
  </r>
  <r>
    <s v="TX501449"/>
    <x v="8"/>
    <x v="5"/>
    <n v="15.1"/>
    <n v="166.1"/>
    <x v="54"/>
    <d v="2025-03-01T00:00:00"/>
    <s v="M"/>
    <x v="3"/>
    <x v="2"/>
    <s v="California"/>
    <s v="Fresno County"/>
    <x v="0"/>
    <x v="8"/>
    <x v="1"/>
  </r>
  <r>
    <s v="TX501450"/>
    <x v="1"/>
    <x v="3"/>
    <n v="71.3"/>
    <n v="499.09999999999997"/>
    <x v="54"/>
    <d v="2025-02-25T00:00:00"/>
    <s v="M"/>
    <x v="4"/>
    <x v="0"/>
    <s v="California"/>
    <s v="Los Angeles County"/>
    <x v="3"/>
    <x v="8"/>
    <x v="1"/>
  </r>
  <r>
    <s v="TX501451"/>
    <x v="10"/>
    <x v="0"/>
    <n v="25.8"/>
    <n v="25.8"/>
    <x v="54"/>
    <d v="2025-02-26T00:00:00"/>
    <s v="F"/>
    <x v="0"/>
    <x v="2"/>
    <s v="California"/>
    <s v="Los Angeles County"/>
    <x v="1"/>
    <x v="8"/>
    <x v="2"/>
  </r>
  <r>
    <s v="TX501452"/>
    <x v="8"/>
    <x v="9"/>
    <n v="39.6"/>
    <n v="198"/>
    <x v="54"/>
    <d v="2025-02-26T00:00:00"/>
    <s v="M"/>
    <x v="1"/>
    <x v="2"/>
    <s v="California"/>
    <s v="Los Angeles County"/>
    <x v="1"/>
    <x v="8"/>
    <x v="1"/>
  </r>
  <r>
    <s v="TX501453"/>
    <x v="5"/>
    <x v="1"/>
    <n v="64"/>
    <n v="128"/>
    <x v="54"/>
    <d v="2025-02-24T00:00:00"/>
    <s v="M"/>
    <x v="1"/>
    <x v="1"/>
    <s v="California"/>
    <s v="Los Angeles County"/>
    <x v="7"/>
    <x v="8"/>
    <x v="1"/>
  </r>
  <r>
    <s v="TX501454"/>
    <x v="8"/>
    <x v="1"/>
    <n v="30.6"/>
    <n v="61.2"/>
    <x v="54"/>
    <d v="2025-02-27T00:00:00"/>
    <s v="M"/>
    <x v="0"/>
    <x v="2"/>
    <s v="California"/>
    <s v="Los Angeles County"/>
    <x v="2"/>
    <x v="8"/>
    <x v="1"/>
  </r>
  <r>
    <s v="TX501455"/>
    <x v="8"/>
    <x v="1"/>
    <n v="21.3"/>
    <n v="42.6"/>
    <x v="54"/>
    <d v="2025-02-25T00:00:00"/>
    <s v="M"/>
    <x v="0"/>
    <x v="1"/>
    <s v="California"/>
    <s v="Los Angeles County"/>
    <x v="3"/>
    <x v="8"/>
    <x v="1"/>
  </r>
  <r>
    <s v="TX501456"/>
    <x v="7"/>
    <x v="0"/>
    <n v="40.799999999999997"/>
    <n v="40.799999999999997"/>
    <x v="54"/>
    <d v="2025-02-26T00:00:00"/>
    <s v="F"/>
    <x v="4"/>
    <x v="0"/>
    <s v="California"/>
    <s v="Los Angeles County"/>
    <x v="1"/>
    <x v="8"/>
    <x v="2"/>
  </r>
  <r>
    <s v="TX501457"/>
    <x v="9"/>
    <x v="12"/>
    <n v="27.7"/>
    <n v="110.8"/>
    <x v="54"/>
    <d v="2025-02-25T00:00:00"/>
    <s v="F"/>
    <x v="0"/>
    <x v="1"/>
    <s v="California"/>
    <s v="Los Angeles County"/>
    <x v="3"/>
    <x v="8"/>
    <x v="2"/>
  </r>
  <r>
    <s v="TX501458"/>
    <x v="6"/>
    <x v="1"/>
    <n v="64.599999999999994"/>
    <n v="129.19999999999999"/>
    <x v="54"/>
    <d v="2025-02-25T00:00:00"/>
    <s v="M"/>
    <x v="0"/>
    <x v="1"/>
    <s v="California"/>
    <s v="Los Angeles County"/>
    <x v="3"/>
    <x v="8"/>
    <x v="1"/>
  </r>
  <r>
    <s v="TX501459"/>
    <x v="6"/>
    <x v="27"/>
    <n v="91.1"/>
    <n v="1457.6"/>
    <x v="54"/>
    <d v="2025-02-25T00:00:00"/>
    <s v="F"/>
    <x v="1"/>
    <x v="2"/>
    <s v="California"/>
    <s v="Los Angeles County"/>
    <x v="3"/>
    <x v="8"/>
    <x v="2"/>
  </r>
  <r>
    <s v="TX501460"/>
    <x v="1"/>
    <x v="0"/>
    <n v="39.5"/>
    <n v="39.5"/>
    <x v="54"/>
    <d v="2025-03-04T00:00:00"/>
    <s v="F"/>
    <x v="0"/>
    <x v="0"/>
    <s v="California"/>
    <s v="Los Angeles County"/>
    <x v="9"/>
    <x v="8"/>
    <x v="2"/>
  </r>
  <r>
    <s v="TX501461"/>
    <x v="9"/>
    <x v="1"/>
    <n v="21.8"/>
    <n v="43.6"/>
    <x v="54"/>
    <d v="2025-02-28T00:00:00"/>
    <s v="M"/>
    <x v="4"/>
    <x v="2"/>
    <s v="California"/>
    <s v="Los Angeles County"/>
    <x v="5"/>
    <x v="8"/>
    <x v="1"/>
  </r>
  <r>
    <s v="TX501462"/>
    <x v="8"/>
    <x v="1"/>
    <n v="51"/>
    <n v="102"/>
    <x v="54"/>
    <d v="2025-02-27T00:00:00"/>
    <s v="M"/>
    <x v="3"/>
    <x v="2"/>
    <s v="California"/>
    <s v="Los Angeles County"/>
    <x v="2"/>
    <x v="8"/>
    <x v="1"/>
  </r>
  <r>
    <s v="TX501463"/>
    <x v="2"/>
    <x v="0"/>
    <n v="92.6"/>
    <n v="92.6"/>
    <x v="54"/>
    <d v="2025-02-27T00:00:00"/>
    <s v="F"/>
    <x v="0"/>
    <x v="2"/>
    <s v="California"/>
    <s v="Plumas County"/>
    <x v="2"/>
    <x v="8"/>
    <x v="2"/>
  </r>
  <r>
    <s v="TX501464"/>
    <x v="9"/>
    <x v="1"/>
    <n v="31.1"/>
    <n v="62.2"/>
    <x v="54"/>
    <d v="2025-03-01T00:00:00"/>
    <s v=""/>
    <x v="1"/>
    <x v="3"/>
    <s v="California"/>
    <s v="Riverside County"/>
    <x v="0"/>
    <x v="8"/>
    <x v="0"/>
  </r>
  <r>
    <s v="TX501465"/>
    <x v="5"/>
    <x v="2"/>
    <n v="56.4"/>
    <n v="169.2"/>
    <x v="54"/>
    <d v="2025-02-25T00:00:00"/>
    <s v=""/>
    <x v="1"/>
    <x v="0"/>
    <s v="California"/>
    <s v="Sacramento County"/>
    <x v="3"/>
    <x v="8"/>
    <x v="0"/>
  </r>
  <r>
    <s v="TX501466"/>
    <x v="9"/>
    <x v="0"/>
    <n v="41.9"/>
    <n v="41.9"/>
    <x v="54"/>
    <d v="2025-02-24T00:00:00"/>
    <s v="M"/>
    <x v="1"/>
    <x v="0"/>
    <s v="California"/>
    <s v="Sacramento County"/>
    <x v="7"/>
    <x v="8"/>
    <x v="1"/>
  </r>
  <r>
    <s v="TX501467"/>
    <x v="10"/>
    <x v="3"/>
    <n v="45.9"/>
    <n v="321.3"/>
    <x v="54"/>
    <d v="2025-02-25T00:00:00"/>
    <s v="M"/>
    <x v="3"/>
    <x v="2"/>
    <s v="California"/>
    <s v="San Diego County"/>
    <x v="3"/>
    <x v="8"/>
    <x v="1"/>
  </r>
  <r>
    <s v="TX501468"/>
    <x v="14"/>
    <x v="11"/>
    <n v="24.4"/>
    <n v="219.6"/>
    <x v="54"/>
    <d v="2025-02-28T00:00:00"/>
    <s v="M"/>
    <x v="3"/>
    <x v="2"/>
    <s v="California"/>
    <s v="San Diego County"/>
    <x v="5"/>
    <x v="8"/>
    <x v="1"/>
  </r>
  <r>
    <s v="TX501469"/>
    <x v="8"/>
    <x v="0"/>
    <n v="18.2"/>
    <n v="18.2"/>
    <x v="54"/>
    <d v="2025-02-25T00:00:00"/>
    <s v="F"/>
    <x v="2"/>
    <x v="2"/>
    <s v="California"/>
    <s v="San Diego County"/>
    <x v="3"/>
    <x v="8"/>
    <x v="2"/>
  </r>
  <r>
    <s v="TX501470"/>
    <x v="8"/>
    <x v="12"/>
    <n v="51.2"/>
    <n v="204.8"/>
    <x v="54"/>
    <d v="2025-02-25T00:00:00"/>
    <s v="F"/>
    <x v="0"/>
    <x v="0"/>
    <s v="California"/>
    <s v="San Diego County"/>
    <x v="3"/>
    <x v="8"/>
    <x v="2"/>
  </r>
  <r>
    <s v="TX501471"/>
    <x v="6"/>
    <x v="0"/>
    <n v="59.7"/>
    <n v="59.7"/>
    <x v="54"/>
    <d v="2025-02-27T00:00:00"/>
    <s v="M"/>
    <x v="0"/>
    <x v="2"/>
    <s v="California"/>
    <s v="San Diego County"/>
    <x v="2"/>
    <x v="8"/>
    <x v="1"/>
  </r>
  <r>
    <s v="TX501472"/>
    <x v="4"/>
    <x v="1"/>
    <n v="33.6"/>
    <n v="67.2"/>
    <x v="54"/>
    <d v="2025-02-26T00:00:00"/>
    <s v="F"/>
    <x v="0"/>
    <x v="0"/>
    <s v="California"/>
    <s v="San Francisco"/>
    <x v="1"/>
    <x v="8"/>
    <x v="2"/>
  </r>
  <r>
    <s v="TX501473"/>
    <x v="12"/>
    <x v="0"/>
    <n v="90.4"/>
    <n v="90.4"/>
    <x v="54"/>
    <d v="2025-02-28T00:00:00"/>
    <s v="M"/>
    <x v="1"/>
    <x v="2"/>
    <s v="California"/>
    <s v="Santa Barbara County"/>
    <x v="5"/>
    <x v="8"/>
    <x v="1"/>
  </r>
  <r>
    <s v="TX501474"/>
    <x v="11"/>
    <x v="2"/>
    <n v="70.3"/>
    <n v="210.89999999999998"/>
    <x v="54"/>
    <d v="2025-02-24T00:00:00"/>
    <s v="M"/>
    <x v="1"/>
    <x v="2"/>
    <s v="California"/>
    <s v="Santa Clara County"/>
    <x v="7"/>
    <x v="8"/>
    <x v="1"/>
  </r>
  <r>
    <s v="TX501475"/>
    <x v="4"/>
    <x v="1"/>
    <n v="20.5"/>
    <n v="41"/>
    <x v="54"/>
    <d v="2025-02-27T00:00:00"/>
    <s v="F"/>
    <x v="0"/>
    <x v="1"/>
    <s v="California"/>
    <s v="Santa Clara County"/>
    <x v="2"/>
    <x v="8"/>
    <x v="2"/>
  </r>
  <r>
    <s v="TX501476"/>
    <x v="5"/>
    <x v="5"/>
    <n v="37.6"/>
    <n v="413.6"/>
    <x v="54"/>
    <d v="2025-02-25T00:00:00"/>
    <s v="M"/>
    <x v="0"/>
    <x v="0"/>
    <s v="California"/>
    <s v="Solano County"/>
    <x v="3"/>
    <x v="8"/>
    <x v="1"/>
  </r>
  <r>
    <s v="TX501477"/>
    <x v="5"/>
    <x v="12"/>
    <n v="61.5"/>
    <n v="246"/>
    <x v="54"/>
    <d v="2025-03-03T00:00:00"/>
    <s v="F"/>
    <x v="1"/>
    <x v="4"/>
    <s v="California"/>
    <s v="Ventura County"/>
    <x v="6"/>
    <x v="8"/>
    <x v="2"/>
  </r>
  <r>
    <s v="TX501478"/>
    <x v="9"/>
    <x v="0"/>
    <n v="33.5"/>
    <n v="33.5"/>
    <x v="55"/>
    <d v="2025-03-01T00:00:00"/>
    <s v="M"/>
    <x v="4"/>
    <x v="1"/>
    <s v="California"/>
    <s v="Alameda County"/>
    <x v="5"/>
    <x v="8"/>
    <x v="1"/>
  </r>
  <r>
    <s v="TX501479"/>
    <x v="4"/>
    <x v="2"/>
    <n v="29.3"/>
    <n v="87.9"/>
    <x v="55"/>
    <d v="2025-02-27T00:00:00"/>
    <s v="F"/>
    <x v="1"/>
    <x v="2"/>
    <s v="California"/>
    <s v="Contra Costa County"/>
    <x v="1"/>
    <x v="8"/>
    <x v="2"/>
  </r>
  <r>
    <s v="TX501480"/>
    <x v="2"/>
    <x v="1"/>
    <n v="125.9"/>
    <n v="251.8"/>
    <x v="55"/>
    <d v="2025-03-02T00:00:00"/>
    <s v="F"/>
    <x v="4"/>
    <x v="1"/>
    <s v="California"/>
    <s v="Contra Costa County"/>
    <x v="0"/>
    <x v="8"/>
    <x v="2"/>
  </r>
  <r>
    <s v="TX501481"/>
    <x v="5"/>
    <x v="9"/>
    <n v="29.3"/>
    <n v="146.5"/>
    <x v="55"/>
    <d v="2025-02-25T00:00:00"/>
    <s v="M"/>
    <x v="2"/>
    <x v="0"/>
    <s v="California"/>
    <s v="Humboldt County"/>
    <x v="7"/>
    <x v="8"/>
    <x v="1"/>
  </r>
  <r>
    <s v="TX501482"/>
    <x v="9"/>
    <x v="0"/>
    <n v="37.799999999999997"/>
    <n v="37.799999999999997"/>
    <x v="55"/>
    <d v="2025-02-28T00:00:00"/>
    <s v="F"/>
    <x v="0"/>
    <x v="2"/>
    <s v="California"/>
    <s v="Los Angeles County"/>
    <x v="2"/>
    <x v="8"/>
    <x v="2"/>
  </r>
  <r>
    <s v="TX501483"/>
    <x v="0"/>
    <x v="12"/>
    <n v="31.7"/>
    <n v="126.8"/>
    <x v="55"/>
    <d v="2025-02-26T00:00:00"/>
    <s v="M"/>
    <x v="2"/>
    <x v="2"/>
    <s v="California"/>
    <s v="Los Angeles County"/>
    <x v="3"/>
    <x v="8"/>
    <x v="1"/>
  </r>
  <r>
    <s v="TX501484"/>
    <x v="8"/>
    <x v="9"/>
    <n v="26.3"/>
    <n v="131.5"/>
    <x v="55"/>
    <d v="2025-02-26T00:00:00"/>
    <s v="F"/>
    <x v="3"/>
    <x v="2"/>
    <s v="California"/>
    <s v="Los Angeles County"/>
    <x v="3"/>
    <x v="8"/>
    <x v="2"/>
  </r>
  <r>
    <s v="TX501485"/>
    <x v="8"/>
    <x v="2"/>
    <n v="23.1"/>
    <n v="69.300000000000011"/>
    <x v="55"/>
    <d v="2025-02-26T00:00:00"/>
    <s v="O"/>
    <x v="2"/>
    <x v="1"/>
    <s v="California"/>
    <s v="Los Angeles County"/>
    <x v="3"/>
    <x v="8"/>
    <x v="3"/>
  </r>
  <r>
    <s v="TX501486"/>
    <x v="4"/>
    <x v="0"/>
    <n v="22.3"/>
    <n v="22.3"/>
    <x v="55"/>
    <d v="2025-02-27T00:00:00"/>
    <s v="F"/>
    <x v="2"/>
    <x v="0"/>
    <s v="California"/>
    <s v="Los Angeles County"/>
    <x v="1"/>
    <x v="8"/>
    <x v="2"/>
  </r>
  <r>
    <s v="TX501487"/>
    <x v="12"/>
    <x v="1"/>
    <n v="99.5"/>
    <n v="199"/>
    <x v="55"/>
    <d v="2025-02-27T00:00:00"/>
    <s v="F"/>
    <x v="2"/>
    <x v="0"/>
    <s v="California"/>
    <s v="Los Angeles County"/>
    <x v="1"/>
    <x v="8"/>
    <x v="2"/>
  </r>
  <r>
    <s v="TX501488"/>
    <x v="12"/>
    <x v="12"/>
    <n v="47.4"/>
    <n v="189.6"/>
    <x v="55"/>
    <d v="2025-02-28T00:00:00"/>
    <s v="F"/>
    <x v="1"/>
    <x v="0"/>
    <s v="California"/>
    <s v="Los Angeles County"/>
    <x v="2"/>
    <x v="8"/>
    <x v="2"/>
  </r>
  <r>
    <s v="TX501489"/>
    <x v="0"/>
    <x v="5"/>
    <n v="37.5"/>
    <n v="412.5"/>
    <x v="55"/>
    <d v="2025-02-27T00:00:00"/>
    <s v="F"/>
    <x v="0"/>
    <x v="3"/>
    <s v="California"/>
    <s v="Los Angeles County"/>
    <x v="1"/>
    <x v="8"/>
    <x v="2"/>
  </r>
  <r>
    <s v="TX501490"/>
    <x v="10"/>
    <x v="0"/>
    <n v="45.1"/>
    <n v="45.1"/>
    <x v="55"/>
    <d v="2025-03-02T00:00:00"/>
    <s v="M"/>
    <x v="3"/>
    <x v="2"/>
    <s v="California"/>
    <s v="Merced County"/>
    <x v="0"/>
    <x v="8"/>
    <x v="1"/>
  </r>
  <r>
    <s v="TX501491"/>
    <x v="5"/>
    <x v="7"/>
    <n v="34.4"/>
    <n v="344"/>
    <x v="55"/>
    <d v="2025-02-28T00:00:00"/>
    <s v="M"/>
    <x v="2"/>
    <x v="0"/>
    <s v="California"/>
    <s v="Napa County"/>
    <x v="2"/>
    <x v="8"/>
    <x v="1"/>
  </r>
  <r>
    <s v="TX501492"/>
    <x v="4"/>
    <x v="1"/>
    <n v="38"/>
    <n v="76"/>
    <x v="55"/>
    <d v="2025-02-27T00:00:00"/>
    <s v="F"/>
    <x v="1"/>
    <x v="0"/>
    <s v="California"/>
    <s v="Placer County"/>
    <x v="1"/>
    <x v="8"/>
    <x v="2"/>
  </r>
  <r>
    <s v="TX501493"/>
    <x v="3"/>
    <x v="21"/>
    <n v="32.4"/>
    <n v="453.59999999999997"/>
    <x v="55"/>
    <d v="2025-02-28T00:00:00"/>
    <s v="M"/>
    <x v="4"/>
    <x v="0"/>
    <s v="California"/>
    <s v="Sacramento County"/>
    <x v="2"/>
    <x v="8"/>
    <x v="1"/>
  </r>
  <r>
    <s v="TX501494"/>
    <x v="6"/>
    <x v="2"/>
    <n v="40.9"/>
    <n v="122.69999999999999"/>
    <x v="55"/>
    <d v="2025-02-25T00:00:00"/>
    <s v=""/>
    <x v="1"/>
    <x v="0"/>
    <s v="California"/>
    <s v="San Diego County"/>
    <x v="7"/>
    <x v="8"/>
    <x v="0"/>
  </r>
  <r>
    <s v="TX501495"/>
    <x v="7"/>
    <x v="3"/>
    <n v="76.2"/>
    <n v="533.4"/>
    <x v="55"/>
    <d v="2025-02-27T00:00:00"/>
    <s v="F"/>
    <x v="2"/>
    <x v="1"/>
    <s v="California"/>
    <s v="San Diego County"/>
    <x v="1"/>
    <x v="8"/>
    <x v="2"/>
  </r>
  <r>
    <s v="TX501496"/>
    <x v="2"/>
    <x v="0"/>
    <n v="85.6"/>
    <n v="85.6"/>
    <x v="55"/>
    <d v="2025-02-27T00:00:00"/>
    <s v="M"/>
    <x v="2"/>
    <x v="0"/>
    <s v="California"/>
    <s v="San Diego County"/>
    <x v="1"/>
    <x v="8"/>
    <x v="1"/>
  </r>
  <r>
    <s v="TX501497"/>
    <x v="4"/>
    <x v="12"/>
    <n v="25"/>
    <n v="100"/>
    <x v="55"/>
    <d v="2025-02-27T00:00:00"/>
    <s v="F"/>
    <x v="2"/>
    <x v="2"/>
    <s v="California"/>
    <s v="San Diego County"/>
    <x v="1"/>
    <x v="8"/>
    <x v="2"/>
  </r>
  <r>
    <s v="TX501498"/>
    <x v="2"/>
    <x v="9"/>
    <n v="150.69999999999999"/>
    <n v="753.5"/>
    <x v="55"/>
    <d v="2025-02-26T00:00:00"/>
    <s v=""/>
    <x v="0"/>
    <x v="2"/>
    <s v="California"/>
    <s v="San Diego County"/>
    <x v="3"/>
    <x v="8"/>
    <x v="0"/>
  </r>
  <r>
    <s v="TX501499"/>
    <x v="8"/>
    <x v="0"/>
    <n v="19.600000000000001"/>
    <n v="19.600000000000001"/>
    <x v="55"/>
    <d v="2025-02-26T00:00:00"/>
    <s v="M"/>
    <x v="1"/>
    <x v="4"/>
    <s v="California"/>
    <s v="San Diego County"/>
    <x v="3"/>
    <x v="8"/>
    <x v="1"/>
  </r>
  <r>
    <s v="TX501500"/>
    <x v="13"/>
    <x v="1"/>
    <n v="37.5"/>
    <n v="75"/>
    <x v="55"/>
    <d v="2025-02-28T00:00:00"/>
    <s v="F"/>
    <x v="1"/>
    <x v="2"/>
    <s v="California"/>
    <s v="San Francisco"/>
    <x v="2"/>
    <x v="8"/>
    <x v="2"/>
  </r>
  <r>
    <s v="TX501501"/>
    <x v="9"/>
    <x v="2"/>
    <n v="51.9"/>
    <n v="155.69999999999999"/>
    <x v="55"/>
    <d v="2025-03-03T00:00:00"/>
    <s v="F"/>
    <x v="0"/>
    <x v="4"/>
    <s v="California"/>
    <s v="Santa Clara County"/>
    <x v="4"/>
    <x v="8"/>
    <x v="2"/>
  </r>
  <r>
    <s v="TX501502"/>
    <x v="1"/>
    <x v="1"/>
    <n v="30.9"/>
    <n v="61.8"/>
    <x v="55"/>
    <d v="2025-02-27T00:00:00"/>
    <s v="F"/>
    <x v="1"/>
    <x v="0"/>
    <s v="California"/>
    <s v="Sonoma County"/>
    <x v="1"/>
    <x v="8"/>
    <x v="2"/>
  </r>
  <r>
    <s v="TX501503"/>
    <x v="4"/>
    <x v="2"/>
    <n v="21.2"/>
    <n v="63.599999999999994"/>
    <x v="55"/>
    <d v="2025-02-28T00:00:00"/>
    <s v="F"/>
    <x v="1"/>
    <x v="0"/>
    <s v="California"/>
    <s v="Stanislaus County"/>
    <x v="2"/>
    <x v="8"/>
    <x v="2"/>
  </r>
  <r>
    <s v="TX501504"/>
    <x v="13"/>
    <x v="14"/>
    <n v="17.5"/>
    <n v="297.5"/>
    <x v="55"/>
    <d v="2025-02-26T00:00:00"/>
    <s v="M"/>
    <x v="1"/>
    <x v="1"/>
    <s v="California"/>
    <s v="Ventura County"/>
    <x v="3"/>
    <x v="8"/>
    <x v="1"/>
  </r>
  <r>
    <s v="TX501505"/>
    <x v="12"/>
    <x v="1"/>
    <n v="53.8"/>
    <n v="107.6"/>
    <x v="55"/>
    <d v="2025-03-02T00:00:00"/>
    <s v="F"/>
    <x v="0"/>
    <x v="2"/>
    <s v="California"/>
    <s v="Alameda County"/>
    <x v="0"/>
    <x v="8"/>
    <x v="2"/>
  </r>
  <r>
    <s v="TX501506"/>
    <x v="19"/>
    <x v="1"/>
    <n v="17"/>
    <n v="34"/>
    <x v="55"/>
    <d v="2025-02-26T00:00:00"/>
    <s v="M"/>
    <x v="3"/>
    <x v="0"/>
    <s v="California"/>
    <s v="Alameda County"/>
    <x v="3"/>
    <x v="8"/>
    <x v="1"/>
  </r>
  <r>
    <s v="TX501507"/>
    <x v="6"/>
    <x v="0"/>
    <n v="103.2"/>
    <n v="103.2"/>
    <x v="55"/>
    <d v="2025-03-05T00:00:00"/>
    <s v="M"/>
    <x v="2"/>
    <x v="1"/>
    <s v="California"/>
    <s v="Contra Costa County"/>
    <x v="9"/>
    <x v="8"/>
    <x v="1"/>
  </r>
  <r>
    <s v="TX501508"/>
    <x v="6"/>
    <x v="12"/>
    <n v="70.3"/>
    <n v="281.2"/>
    <x v="55"/>
    <d v="2025-02-26T00:00:00"/>
    <s v="M"/>
    <x v="0"/>
    <x v="0"/>
    <s v="California"/>
    <s v="Los Angeles County"/>
    <x v="3"/>
    <x v="8"/>
    <x v="1"/>
  </r>
  <r>
    <s v="TX501509"/>
    <x v="2"/>
    <x v="1"/>
    <n v="73.8"/>
    <n v="147.6"/>
    <x v="55"/>
    <d v="2025-02-25T00:00:00"/>
    <s v="M"/>
    <x v="3"/>
    <x v="2"/>
    <s v="California"/>
    <s v="Los Angeles County"/>
    <x v="7"/>
    <x v="8"/>
    <x v="1"/>
  </r>
  <r>
    <s v="TX501510"/>
    <x v="1"/>
    <x v="4"/>
    <n v="67.7"/>
    <n v="812.40000000000009"/>
    <x v="55"/>
    <d v="2025-03-01T00:00:00"/>
    <s v="M"/>
    <x v="1"/>
    <x v="1"/>
    <s v="California"/>
    <s v="Los Angeles County"/>
    <x v="5"/>
    <x v="8"/>
    <x v="1"/>
  </r>
  <r>
    <s v="TX501511"/>
    <x v="13"/>
    <x v="3"/>
    <n v="43.8"/>
    <n v="306.59999999999997"/>
    <x v="55"/>
    <d v="2025-02-27T00:00:00"/>
    <s v="M"/>
    <x v="1"/>
    <x v="0"/>
    <s v="California"/>
    <s v="Los Angeles County"/>
    <x v="1"/>
    <x v="8"/>
    <x v="1"/>
  </r>
  <r>
    <s v="TX501512"/>
    <x v="17"/>
    <x v="13"/>
    <n v="71.900000000000006"/>
    <n v="431.40000000000003"/>
    <x v="55"/>
    <d v="2025-02-26T00:00:00"/>
    <s v="F"/>
    <x v="2"/>
    <x v="0"/>
    <s v="California"/>
    <s v="Los Angeles County"/>
    <x v="3"/>
    <x v="8"/>
    <x v="2"/>
  </r>
  <r>
    <s v="TX501513"/>
    <x v="8"/>
    <x v="1"/>
    <n v="26.3"/>
    <n v="52.6"/>
    <x v="56"/>
    <d v="2025-02-28T00:00:00"/>
    <s v="F"/>
    <x v="0"/>
    <x v="1"/>
    <s v="California"/>
    <s v="Los Angeles County"/>
    <x v="1"/>
    <x v="8"/>
    <x v="2"/>
  </r>
  <r>
    <s v="TX501514"/>
    <x v="6"/>
    <x v="12"/>
    <n v="52.6"/>
    <n v="210.4"/>
    <x v="56"/>
    <d v="2025-02-28T00:00:00"/>
    <s v="F"/>
    <x v="2"/>
    <x v="1"/>
    <s v="California"/>
    <s v="Los Angeles County"/>
    <x v="1"/>
    <x v="8"/>
    <x v="2"/>
  </r>
  <r>
    <s v="TX501515"/>
    <x v="10"/>
    <x v="0"/>
    <n v="32.700000000000003"/>
    <n v="32.700000000000003"/>
    <x v="56"/>
    <d v="2025-03-05T00:00:00"/>
    <s v="F"/>
    <x v="0"/>
    <x v="2"/>
    <s v="California"/>
    <s v="Los Angeles County"/>
    <x v="6"/>
    <x v="8"/>
    <x v="2"/>
  </r>
  <r>
    <s v="TX501516"/>
    <x v="5"/>
    <x v="12"/>
    <n v="38.9"/>
    <n v="155.6"/>
    <x v="56"/>
    <d v="2025-02-27T00:00:00"/>
    <s v="F"/>
    <x v="0"/>
    <x v="0"/>
    <s v="California"/>
    <s v="Los Angeles County"/>
    <x v="3"/>
    <x v="8"/>
    <x v="2"/>
  </r>
  <r>
    <s v="TX501517"/>
    <x v="9"/>
    <x v="9"/>
    <n v="35"/>
    <n v="175"/>
    <x v="56"/>
    <d v="2025-02-28T00:00:00"/>
    <s v="M"/>
    <x v="0"/>
    <x v="0"/>
    <s v="California"/>
    <s v="Los Angeles County"/>
    <x v="1"/>
    <x v="8"/>
    <x v="1"/>
  </r>
  <r>
    <s v="TX501518"/>
    <x v="2"/>
    <x v="1"/>
    <n v="121"/>
    <n v="242"/>
    <x v="56"/>
    <d v="2025-02-27T00:00:00"/>
    <s v="F"/>
    <x v="1"/>
    <x v="1"/>
    <s v="California"/>
    <s v="Los Angeles County"/>
    <x v="3"/>
    <x v="8"/>
    <x v="2"/>
  </r>
  <r>
    <s v="TX501519"/>
    <x v="6"/>
    <x v="2"/>
    <n v="65.099999999999994"/>
    <n v="195.29999999999998"/>
    <x v="56"/>
    <d v="2025-03-02T00:00:00"/>
    <s v="M"/>
    <x v="2"/>
    <x v="0"/>
    <s v="California"/>
    <s v="San Benito County"/>
    <x v="5"/>
    <x v="8"/>
    <x v="1"/>
  </r>
  <r>
    <s v="TX501520"/>
    <x v="1"/>
    <x v="38"/>
    <n v="63.8"/>
    <n v="1339.8"/>
    <x v="56"/>
    <d v="2025-02-28T00:00:00"/>
    <s v="F"/>
    <x v="0"/>
    <x v="0"/>
    <s v="California"/>
    <s v="San Diego County"/>
    <x v="1"/>
    <x v="8"/>
    <x v="2"/>
  </r>
  <r>
    <s v="TX501521"/>
    <x v="7"/>
    <x v="0"/>
    <n v="77.7"/>
    <n v="77.7"/>
    <x v="56"/>
    <d v="2025-02-28T00:00:00"/>
    <s v="M"/>
    <x v="0"/>
    <x v="0"/>
    <s v="California"/>
    <s v="San Diego County"/>
    <x v="1"/>
    <x v="8"/>
    <x v="1"/>
  </r>
  <r>
    <s v="TX501522"/>
    <x v="5"/>
    <x v="12"/>
    <n v="60.3"/>
    <n v="241.2"/>
    <x v="56"/>
    <d v="2025-02-26T00:00:00"/>
    <s v="M"/>
    <x v="0"/>
    <x v="2"/>
    <s v="California"/>
    <s v="San Diego County"/>
    <x v="7"/>
    <x v="8"/>
    <x v="1"/>
  </r>
  <r>
    <s v="TX501523"/>
    <x v="5"/>
    <x v="1"/>
    <n v="124.1"/>
    <n v="248.2"/>
    <x v="56"/>
    <d v="2025-03-01T00:00:00"/>
    <s v="F"/>
    <x v="0"/>
    <x v="2"/>
    <s v="California"/>
    <s v="San Diego County"/>
    <x v="2"/>
    <x v="8"/>
    <x v="2"/>
  </r>
  <r>
    <s v="TX501524"/>
    <x v="16"/>
    <x v="3"/>
    <n v="66"/>
    <n v="462"/>
    <x v="56"/>
    <d v="2025-02-26T00:00:00"/>
    <s v=""/>
    <x v="3"/>
    <x v="0"/>
    <s v="California"/>
    <s v="San Francisco"/>
    <x v="7"/>
    <x v="8"/>
    <x v="0"/>
  </r>
  <r>
    <s v="TX501525"/>
    <x v="2"/>
    <x v="42"/>
    <n v="118.2"/>
    <n v="7446.6"/>
    <x v="56"/>
    <d v="2025-03-03T00:00:00"/>
    <s v=""/>
    <x v="0"/>
    <x v="0"/>
    <s v="California"/>
    <s v="San Francisco"/>
    <x v="0"/>
    <x v="8"/>
    <x v="0"/>
  </r>
  <r>
    <s v="TX501526"/>
    <x v="5"/>
    <x v="9"/>
    <n v="64.3"/>
    <n v="321.5"/>
    <x v="56"/>
    <d v="2025-02-27T00:00:00"/>
    <s v="M"/>
    <x v="4"/>
    <x v="4"/>
    <s v="California"/>
    <s v="San Joaquin County"/>
    <x v="3"/>
    <x v="8"/>
    <x v="1"/>
  </r>
  <r>
    <s v="TX501527"/>
    <x v="1"/>
    <x v="1"/>
    <n v="54.8"/>
    <n v="109.6"/>
    <x v="56"/>
    <d v="2025-02-26T00:00:00"/>
    <s v="M"/>
    <x v="0"/>
    <x v="1"/>
    <s v="California"/>
    <s v="San Joaquin County"/>
    <x v="7"/>
    <x v="8"/>
    <x v="1"/>
  </r>
  <r>
    <s v="TX501528"/>
    <x v="7"/>
    <x v="1"/>
    <n v="78.599999999999994"/>
    <n v="157.19999999999999"/>
    <x v="56"/>
    <d v="2025-02-27T00:00:00"/>
    <s v="M"/>
    <x v="0"/>
    <x v="2"/>
    <s v="California"/>
    <s v="San Mateo County"/>
    <x v="3"/>
    <x v="8"/>
    <x v="1"/>
  </r>
  <r>
    <s v="TX501529"/>
    <x v="2"/>
    <x v="9"/>
    <n v="158.5"/>
    <n v="792.5"/>
    <x v="56"/>
    <d v="2025-02-28T00:00:00"/>
    <s v=""/>
    <x v="2"/>
    <x v="2"/>
    <s v="California"/>
    <s v="San Mateo County"/>
    <x v="1"/>
    <x v="8"/>
    <x v="0"/>
  </r>
  <r>
    <s v="TX501530"/>
    <x v="4"/>
    <x v="7"/>
    <n v="23.5"/>
    <n v="235"/>
    <x v="56"/>
    <d v="2025-03-01T00:00:00"/>
    <s v="M"/>
    <x v="0"/>
    <x v="4"/>
    <s v="California"/>
    <s v="Santa Barbara County"/>
    <x v="2"/>
    <x v="8"/>
    <x v="1"/>
  </r>
  <r>
    <s v="TX501531"/>
    <x v="5"/>
    <x v="1"/>
    <n v="32.1"/>
    <n v="64.2"/>
    <x v="56"/>
    <d v="2025-02-28T00:00:00"/>
    <s v=""/>
    <x v="3"/>
    <x v="0"/>
    <s v="California"/>
    <s v="Santa Barbara County"/>
    <x v="1"/>
    <x v="8"/>
    <x v="0"/>
  </r>
  <r>
    <s v="TX501532"/>
    <x v="17"/>
    <x v="12"/>
    <n v="71.900000000000006"/>
    <n v="287.60000000000002"/>
    <x v="56"/>
    <d v="2025-02-26T00:00:00"/>
    <s v="M"/>
    <x v="2"/>
    <x v="0"/>
    <s v="California"/>
    <s v="Stanislaus County"/>
    <x v="7"/>
    <x v="8"/>
    <x v="1"/>
  </r>
  <r>
    <s v="TX501533"/>
    <x v="4"/>
    <x v="13"/>
    <n v="22.3"/>
    <n v="133.80000000000001"/>
    <x v="56"/>
    <d v="2025-02-27T00:00:00"/>
    <s v=""/>
    <x v="3"/>
    <x v="2"/>
    <s v="California"/>
    <s v="Ventura County"/>
    <x v="3"/>
    <x v="8"/>
    <x v="0"/>
  </r>
  <r>
    <s v="TX501534"/>
    <x v="11"/>
    <x v="1"/>
    <n v="29.5"/>
    <n v="59"/>
    <x v="56"/>
    <d v="2025-02-27T00:00:00"/>
    <s v="F"/>
    <x v="0"/>
    <x v="2"/>
    <s v="California"/>
    <s v="Ventura County"/>
    <x v="3"/>
    <x v="8"/>
    <x v="2"/>
  </r>
  <r>
    <s v="TX501535"/>
    <x v="6"/>
    <x v="12"/>
    <n v="41.9"/>
    <n v="167.6"/>
    <x v="56"/>
    <d v="2025-03-02T00:00:00"/>
    <s v="F"/>
    <x v="0"/>
    <x v="1"/>
    <s v="California"/>
    <s v="Alameda County"/>
    <x v="5"/>
    <x v="8"/>
    <x v="2"/>
  </r>
  <r>
    <s v="TX501536"/>
    <x v="6"/>
    <x v="2"/>
    <n v="107.8"/>
    <n v="323.39999999999998"/>
    <x v="56"/>
    <d v="2025-02-27T00:00:00"/>
    <s v="M"/>
    <x v="1"/>
    <x v="2"/>
    <s v="California"/>
    <s v="Amador County"/>
    <x v="3"/>
    <x v="8"/>
    <x v="1"/>
  </r>
  <r>
    <s v="TX501537"/>
    <x v="4"/>
    <x v="9"/>
    <n v="18.100000000000001"/>
    <n v="90.5"/>
    <x v="56"/>
    <d v="2025-03-01T00:00:00"/>
    <s v="M"/>
    <x v="0"/>
    <x v="2"/>
    <s v="California"/>
    <s v="Fresno County"/>
    <x v="2"/>
    <x v="8"/>
    <x v="1"/>
  </r>
  <r>
    <s v="TX501538"/>
    <x v="12"/>
    <x v="11"/>
    <n v="79.8"/>
    <n v="718.19999999999993"/>
    <x v="56"/>
    <d v="2025-02-27T00:00:00"/>
    <s v="F"/>
    <x v="1"/>
    <x v="1"/>
    <s v="California"/>
    <s v="Kern County"/>
    <x v="3"/>
    <x v="8"/>
    <x v="2"/>
  </r>
  <r>
    <s v="TX501539"/>
    <x v="0"/>
    <x v="2"/>
    <n v="22.3"/>
    <n v="66.900000000000006"/>
    <x v="56"/>
    <d v="2025-03-01T00:00:00"/>
    <s v="F"/>
    <x v="0"/>
    <x v="2"/>
    <s v="California"/>
    <s v="Kern County"/>
    <x v="2"/>
    <x v="8"/>
    <x v="2"/>
  </r>
  <r>
    <s v="TX501540"/>
    <x v="8"/>
    <x v="0"/>
    <n v="22.9"/>
    <n v="22.9"/>
    <x v="56"/>
    <d v="2025-02-26T00:00:00"/>
    <s v="F"/>
    <x v="1"/>
    <x v="0"/>
    <s v="California"/>
    <s v="Kern County"/>
    <x v="7"/>
    <x v="8"/>
    <x v="2"/>
  </r>
  <r>
    <s v="TX501541"/>
    <x v="0"/>
    <x v="2"/>
    <n v="16.2"/>
    <n v="48.599999999999994"/>
    <x v="57"/>
    <d v="2025-02-27T00:00:00"/>
    <s v="M"/>
    <x v="4"/>
    <x v="2"/>
    <s v="California"/>
    <s v="Los Angeles County"/>
    <x v="7"/>
    <x v="8"/>
    <x v="1"/>
  </r>
  <r>
    <s v="TX501542"/>
    <x v="10"/>
    <x v="12"/>
    <n v="59.5"/>
    <n v="238"/>
    <x v="57"/>
    <d v="2025-02-28T00:00:00"/>
    <s v="M"/>
    <x v="1"/>
    <x v="2"/>
    <s v="California"/>
    <s v="Los Angeles County"/>
    <x v="3"/>
    <x v="8"/>
    <x v="1"/>
  </r>
  <r>
    <s v="TX501543"/>
    <x v="18"/>
    <x v="9"/>
    <n v="26.2"/>
    <n v="131"/>
    <x v="57"/>
    <d v="2025-03-02T00:00:00"/>
    <s v="M"/>
    <x v="3"/>
    <x v="4"/>
    <s v="California"/>
    <s v="Los Angeles County"/>
    <x v="2"/>
    <x v="8"/>
    <x v="1"/>
  </r>
  <r>
    <s v="TX501544"/>
    <x v="3"/>
    <x v="0"/>
    <n v="44.2"/>
    <n v="44.2"/>
    <x v="57"/>
    <d v="2025-03-02T00:00:00"/>
    <s v="F"/>
    <x v="1"/>
    <x v="0"/>
    <s v="California"/>
    <s v="Los Angeles County"/>
    <x v="2"/>
    <x v="8"/>
    <x v="2"/>
  </r>
  <r>
    <s v="TX501545"/>
    <x v="9"/>
    <x v="1"/>
    <n v="59.2"/>
    <n v="118.4"/>
    <x v="57"/>
    <d v="2025-02-27T00:00:00"/>
    <s v="F"/>
    <x v="1"/>
    <x v="4"/>
    <s v="California"/>
    <s v="Los Angeles County"/>
    <x v="7"/>
    <x v="8"/>
    <x v="2"/>
  </r>
  <r>
    <s v="TX501546"/>
    <x v="15"/>
    <x v="12"/>
    <n v="41.5"/>
    <n v="166"/>
    <x v="57"/>
    <d v="2025-03-01T00:00:00"/>
    <s v="F"/>
    <x v="0"/>
    <x v="0"/>
    <s v="California"/>
    <s v="Napa County"/>
    <x v="1"/>
    <x v="8"/>
    <x v="2"/>
  </r>
  <r>
    <s v="TX501547"/>
    <x v="6"/>
    <x v="4"/>
    <n v="67.099999999999994"/>
    <n v="805.19999999999993"/>
    <x v="57"/>
    <d v="2025-03-13T00:00:00"/>
    <s v="F"/>
    <x v="0"/>
    <x v="2"/>
    <s v="California"/>
    <s v="Riverside County"/>
    <x v="12"/>
    <x v="8"/>
    <x v="2"/>
  </r>
  <r>
    <s v="TX501548"/>
    <x v="8"/>
    <x v="1"/>
    <n v="28.7"/>
    <n v="57.4"/>
    <x v="57"/>
    <d v="2025-03-03T00:00:00"/>
    <s v="F"/>
    <x v="1"/>
    <x v="0"/>
    <s v="California"/>
    <s v="Sacramento County"/>
    <x v="5"/>
    <x v="8"/>
    <x v="2"/>
  </r>
  <r>
    <s v="TX501549"/>
    <x v="2"/>
    <x v="12"/>
    <n v="132.1"/>
    <n v="528.4"/>
    <x v="57"/>
    <d v="2025-02-28T00:00:00"/>
    <s v="F"/>
    <x v="0"/>
    <x v="1"/>
    <s v="California"/>
    <s v="Sacramento County"/>
    <x v="3"/>
    <x v="8"/>
    <x v="2"/>
  </r>
  <r>
    <s v="TX501550"/>
    <x v="18"/>
    <x v="1"/>
    <n v="47"/>
    <n v="94"/>
    <x v="57"/>
    <d v="2025-03-01T00:00:00"/>
    <s v="M"/>
    <x v="4"/>
    <x v="0"/>
    <s v="California"/>
    <s v="San Diego County"/>
    <x v="1"/>
    <x v="8"/>
    <x v="1"/>
  </r>
  <r>
    <s v="TX501551"/>
    <x v="8"/>
    <x v="1"/>
    <n v="41.6"/>
    <n v="83.2"/>
    <x v="57"/>
    <d v="2025-03-03T00:00:00"/>
    <s v="M"/>
    <x v="1"/>
    <x v="2"/>
    <s v="California"/>
    <s v="San Diego County"/>
    <x v="5"/>
    <x v="8"/>
    <x v="1"/>
  </r>
  <r>
    <s v="TX501552"/>
    <x v="8"/>
    <x v="43"/>
    <n v="17.3"/>
    <n v="657.4"/>
    <x v="57"/>
    <d v="2025-03-01T00:00:00"/>
    <s v="M"/>
    <x v="2"/>
    <x v="2"/>
    <s v="California"/>
    <s v="San Diego County"/>
    <x v="1"/>
    <x v="8"/>
    <x v="1"/>
  </r>
  <r>
    <s v="TX501553"/>
    <x v="13"/>
    <x v="2"/>
    <n v="41.8"/>
    <n v="125.39999999999999"/>
    <x v="57"/>
    <d v="2025-03-02T00:00:00"/>
    <s v="M"/>
    <x v="0"/>
    <x v="2"/>
    <s v="California"/>
    <s v="San Diego County"/>
    <x v="2"/>
    <x v="8"/>
    <x v="1"/>
  </r>
  <r>
    <s v="TX501554"/>
    <x v="10"/>
    <x v="0"/>
    <n v="24"/>
    <n v="24"/>
    <x v="57"/>
    <d v="2025-02-28T00:00:00"/>
    <s v="F"/>
    <x v="0"/>
    <x v="0"/>
    <s v="California"/>
    <s v="San Francisco"/>
    <x v="3"/>
    <x v="8"/>
    <x v="2"/>
  </r>
  <r>
    <s v="TX501555"/>
    <x v="14"/>
    <x v="11"/>
    <n v="18.5"/>
    <n v="166.5"/>
    <x v="57"/>
    <d v="2025-03-01T00:00:00"/>
    <s v="F"/>
    <x v="0"/>
    <x v="0"/>
    <s v="California"/>
    <s v="San Mateo County"/>
    <x v="1"/>
    <x v="8"/>
    <x v="2"/>
  </r>
  <r>
    <s v="TX501556"/>
    <x v="3"/>
    <x v="4"/>
    <n v="66.7"/>
    <n v="800.40000000000009"/>
    <x v="57"/>
    <d v="2025-03-02T00:00:00"/>
    <s v=""/>
    <x v="0"/>
    <x v="2"/>
    <s v="California"/>
    <s v="Santa Clara County"/>
    <x v="2"/>
    <x v="8"/>
    <x v="0"/>
  </r>
  <r>
    <s v="TX501557"/>
    <x v="1"/>
    <x v="12"/>
    <n v="33.1"/>
    <n v="132.4"/>
    <x v="57"/>
    <d v="2025-03-04T00:00:00"/>
    <s v="M"/>
    <x v="3"/>
    <x v="0"/>
    <s v="California"/>
    <s v="Santa Clara County"/>
    <x v="0"/>
    <x v="8"/>
    <x v="1"/>
  </r>
  <r>
    <s v="TX501558"/>
    <x v="19"/>
    <x v="11"/>
    <n v="42.1"/>
    <n v="378.90000000000003"/>
    <x v="57"/>
    <d v="2025-03-10T00:00:00"/>
    <s v="M"/>
    <x v="1"/>
    <x v="0"/>
    <s v="California"/>
    <s v="Sonoma County"/>
    <x v="11"/>
    <x v="8"/>
    <x v="1"/>
  </r>
  <r>
    <s v="TX501559"/>
    <x v="18"/>
    <x v="3"/>
    <n v="58.7"/>
    <n v="410.90000000000003"/>
    <x v="57"/>
    <d v="2025-02-27T00:00:00"/>
    <s v="O"/>
    <x v="3"/>
    <x v="0"/>
    <s v="California"/>
    <s v="Sutter County"/>
    <x v="7"/>
    <x v="8"/>
    <x v="3"/>
  </r>
  <r>
    <s v="TX501560"/>
    <x v="6"/>
    <x v="12"/>
    <n v="54"/>
    <n v="216"/>
    <x v="57"/>
    <d v="2025-03-01T00:00:00"/>
    <s v="F"/>
    <x v="1"/>
    <x v="0"/>
    <s v="California"/>
    <s v="Contra Costa County"/>
    <x v="1"/>
    <x v="8"/>
    <x v="2"/>
  </r>
  <r>
    <s v="TX501561"/>
    <x v="8"/>
    <x v="0"/>
    <n v="52.1"/>
    <n v="52.1"/>
    <x v="57"/>
    <d v="2025-02-28T00:00:00"/>
    <s v="F"/>
    <x v="2"/>
    <x v="2"/>
    <s v="California"/>
    <s v="Fresno County"/>
    <x v="3"/>
    <x v="8"/>
    <x v="2"/>
  </r>
  <r>
    <s v="TX501562"/>
    <x v="19"/>
    <x v="1"/>
    <n v="27"/>
    <n v="54"/>
    <x v="57"/>
    <d v="2025-03-02T00:00:00"/>
    <s v="O"/>
    <x v="2"/>
    <x v="0"/>
    <s v="California"/>
    <s v="Kern County"/>
    <x v="2"/>
    <x v="8"/>
    <x v="3"/>
  </r>
  <r>
    <s v="TX501563"/>
    <x v="12"/>
    <x v="7"/>
    <n v="31"/>
    <n v="310"/>
    <x v="58"/>
    <d v="2025-03-01T00:00:00"/>
    <s v="F"/>
    <x v="3"/>
    <x v="2"/>
    <s v="California"/>
    <s v="Kern County"/>
    <x v="3"/>
    <x v="8"/>
    <x v="2"/>
  </r>
  <r>
    <s v="TX501564"/>
    <x v="10"/>
    <x v="1"/>
    <n v="46.7"/>
    <n v="93.4"/>
    <x v="58"/>
    <d v="2025-02-28T00:00:00"/>
    <s v="F"/>
    <x v="0"/>
    <x v="0"/>
    <s v="California"/>
    <s v="Kings County"/>
    <x v="7"/>
    <x v="8"/>
    <x v="2"/>
  </r>
  <r>
    <s v="TX501565"/>
    <x v="6"/>
    <x v="0"/>
    <n v="144.69999999999999"/>
    <n v="144.69999999999999"/>
    <x v="58"/>
    <d v="2025-03-03T00:00:00"/>
    <s v="M"/>
    <x v="0"/>
    <x v="2"/>
    <s v="California"/>
    <s v="Los Angeles County"/>
    <x v="2"/>
    <x v="8"/>
    <x v="1"/>
  </r>
  <r>
    <s v="TX501566"/>
    <x v="2"/>
    <x v="11"/>
    <n v="90.9"/>
    <n v="818.1"/>
    <x v="58"/>
    <d v="2025-03-01T00:00:00"/>
    <s v="M"/>
    <x v="0"/>
    <x v="2"/>
    <s v="California"/>
    <s v="Los Angeles County"/>
    <x v="3"/>
    <x v="8"/>
    <x v="1"/>
  </r>
  <r>
    <s v="TX501567"/>
    <x v="1"/>
    <x v="1"/>
    <n v="75.8"/>
    <n v="151.6"/>
    <x v="58"/>
    <d v="2025-03-01T00:00:00"/>
    <s v="F"/>
    <x v="2"/>
    <x v="1"/>
    <s v="California"/>
    <s v="Los Angeles County"/>
    <x v="3"/>
    <x v="8"/>
    <x v="2"/>
  </r>
  <r>
    <s v="TX501568"/>
    <x v="7"/>
    <x v="9"/>
    <n v="57.9"/>
    <n v="289.5"/>
    <x v="58"/>
    <d v="2025-03-02T00:00:00"/>
    <s v="M"/>
    <x v="2"/>
    <x v="2"/>
    <s v="California"/>
    <s v="Los Angeles County"/>
    <x v="1"/>
    <x v="8"/>
    <x v="1"/>
  </r>
  <r>
    <s v="TX501569"/>
    <x v="8"/>
    <x v="9"/>
    <n v="44.8"/>
    <n v="224"/>
    <x v="58"/>
    <d v="2025-03-01T00:00:00"/>
    <s v="F"/>
    <x v="3"/>
    <x v="2"/>
    <s v="California"/>
    <s v="Los Angeles County"/>
    <x v="3"/>
    <x v="8"/>
    <x v="2"/>
  </r>
  <r>
    <s v="TX501570"/>
    <x v="9"/>
    <x v="2"/>
    <n v="44.2"/>
    <n v="132.60000000000002"/>
    <x v="58"/>
    <d v="2025-03-04T00:00:00"/>
    <s v="M"/>
    <x v="2"/>
    <x v="2"/>
    <s v="California"/>
    <s v="Los Angeles County"/>
    <x v="5"/>
    <x v="8"/>
    <x v="1"/>
  </r>
  <r>
    <s v="TX501571"/>
    <x v="5"/>
    <x v="9"/>
    <n v="53.5"/>
    <n v="267.5"/>
    <x v="58"/>
    <d v="2025-03-02T00:00:00"/>
    <s v="M"/>
    <x v="0"/>
    <x v="0"/>
    <s v="California"/>
    <s v="Madera County"/>
    <x v="1"/>
    <x v="8"/>
    <x v="1"/>
  </r>
  <r>
    <s v="TX501572"/>
    <x v="6"/>
    <x v="1"/>
    <n v="72.2"/>
    <n v="144.4"/>
    <x v="58"/>
    <d v="2025-03-01T00:00:00"/>
    <s v="M"/>
    <x v="0"/>
    <x v="2"/>
    <s v="California"/>
    <s v="Orange County"/>
    <x v="3"/>
    <x v="8"/>
    <x v="1"/>
  </r>
  <r>
    <s v="TX501573"/>
    <x v="6"/>
    <x v="12"/>
    <n v="62.4"/>
    <n v="249.6"/>
    <x v="58"/>
    <d v="2025-03-03T00:00:00"/>
    <s v="F"/>
    <x v="0"/>
    <x v="1"/>
    <s v="California"/>
    <s v="Riverside County"/>
    <x v="2"/>
    <x v="8"/>
    <x v="2"/>
  </r>
  <r>
    <s v="TX501574"/>
    <x v="10"/>
    <x v="9"/>
    <n v="24.7"/>
    <n v="123.5"/>
    <x v="58"/>
    <d v="2025-03-01T00:00:00"/>
    <s v="F"/>
    <x v="0"/>
    <x v="0"/>
    <s v="California"/>
    <s v="Sacramento County"/>
    <x v="3"/>
    <x v="8"/>
    <x v="2"/>
  </r>
  <r>
    <s v="TX501575"/>
    <x v="1"/>
    <x v="9"/>
    <n v="61.7"/>
    <n v="308.5"/>
    <x v="58"/>
    <d v="2025-03-02T00:00:00"/>
    <s v="F"/>
    <x v="2"/>
    <x v="0"/>
    <s v="California"/>
    <s v="San Diego County"/>
    <x v="1"/>
    <x v="8"/>
    <x v="2"/>
  </r>
  <r>
    <s v="TX501576"/>
    <x v="8"/>
    <x v="9"/>
    <n v="18.2"/>
    <n v="91"/>
    <x v="58"/>
    <d v="2025-03-02T00:00:00"/>
    <s v="F"/>
    <x v="3"/>
    <x v="0"/>
    <s v="California"/>
    <s v="San Diego County"/>
    <x v="1"/>
    <x v="8"/>
    <x v="2"/>
  </r>
  <r>
    <s v="TX501577"/>
    <x v="10"/>
    <x v="12"/>
    <n v="37.200000000000003"/>
    <n v="148.80000000000001"/>
    <x v="58"/>
    <d v="2025-03-06T00:00:00"/>
    <s v="F"/>
    <x v="0"/>
    <x v="0"/>
    <s v="California"/>
    <s v="San Diego County"/>
    <x v="4"/>
    <x v="8"/>
    <x v="2"/>
  </r>
  <r>
    <s v="TX501578"/>
    <x v="9"/>
    <x v="2"/>
    <n v="53.5"/>
    <n v="160.5"/>
    <x v="58"/>
    <d v="2025-03-02T00:00:00"/>
    <s v="F"/>
    <x v="1"/>
    <x v="2"/>
    <s v="California"/>
    <s v="San Mateo County"/>
    <x v="1"/>
    <x v="8"/>
    <x v="2"/>
  </r>
  <r>
    <s v="TX501579"/>
    <x v="8"/>
    <x v="2"/>
    <n v="43.6"/>
    <n v="130.80000000000001"/>
    <x v="58"/>
    <d v="2025-02-28T00:00:00"/>
    <s v="F"/>
    <x v="0"/>
    <x v="0"/>
    <s v="California"/>
    <s v="San Mateo County"/>
    <x v="7"/>
    <x v="8"/>
    <x v="2"/>
  </r>
  <r>
    <s v="TX501580"/>
    <x v="1"/>
    <x v="7"/>
    <n v="135"/>
    <n v="1350"/>
    <x v="58"/>
    <d v="2025-03-02T00:00:00"/>
    <s v="F"/>
    <x v="0"/>
    <x v="2"/>
    <s v="California"/>
    <s v="San Mateo County"/>
    <x v="1"/>
    <x v="8"/>
    <x v="2"/>
  </r>
  <r>
    <s v="TX501581"/>
    <x v="8"/>
    <x v="9"/>
    <n v="38.5"/>
    <n v="192.5"/>
    <x v="58"/>
    <d v="2025-02-28T00:00:00"/>
    <s v="M"/>
    <x v="4"/>
    <x v="2"/>
    <s v="California"/>
    <s v="Santa Barbara County"/>
    <x v="7"/>
    <x v="8"/>
    <x v="1"/>
  </r>
  <r>
    <s v="TX501582"/>
    <x v="9"/>
    <x v="1"/>
    <n v="24"/>
    <n v="48"/>
    <x v="58"/>
    <d v="2025-03-05T00:00:00"/>
    <s v="F"/>
    <x v="0"/>
    <x v="0"/>
    <s v="California"/>
    <s v="Santa Clara County"/>
    <x v="0"/>
    <x v="8"/>
    <x v="2"/>
  </r>
  <r>
    <s v="TX501583"/>
    <x v="4"/>
    <x v="2"/>
    <n v="28.2"/>
    <n v="84.6"/>
    <x v="58"/>
    <d v="2025-03-02T00:00:00"/>
    <s v="M"/>
    <x v="0"/>
    <x v="3"/>
    <s v="California"/>
    <s v="Sonoma County"/>
    <x v="1"/>
    <x v="8"/>
    <x v="1"/>
  </r>
  <r>
    <s v="TX501584"/>
    <x v="7"/>
    <x v="2"/>
    <n v="37.4"/>
    <n v="112.19999999999999"/>
    <x v="58"/>
    <d v="2025-03-01T00:00:00"/>
    <s v="F"/>
    <x v="3"/>
    <x v="0"/>
    <s v="California"/>
    <s v="Contra Costa County"/>
    <x v="3"/>
    <x v="8"/>
    <x v="2"/>
  </r>
  <r>
    <s v="TX501585"/>
    <x v="6"/>
    <x v="2"/>
    <n v="53.5"/>
    <n v="160.5"/>
    <x v="58"/>
    <d v="2025-03-03T00:00:00"/>
    <s v=""/>
    <x v="4"/>
    <x v="4"/>
    <s v="California"/>
    <s v="Contra Costa County"/>
    <x v="2"/>
    <x v="8"/>
    <x v="0"/>
  </r>
  <r>
    <s v="TX501586"/>
    <x v="11"/>
    <x v="9"/>
    <n v="36.200000000000003"/>
    <n v="181"/>
    <x v="58"/>
    <d v="2025-03-01T00:00:00"/>
    <s v="M"/>
    <x v="1"/>
    <x v="2"/>
    <s v="California"/>
    <s v="Imperial County"/>
    <x v="3"/>
    <x v="8"/>
    <x v="1"/>
  </r>
  <r>
    <s v="TX501587"/>
    <x v="0"/>
    <x v="8"/>
    <n v="31.9"/>
    <n v="255.2"/>
    <x v="58"/>
    <d v="2025-03-01T00:00:00"/>
    <s v="F"/>
    <x v="4"/>
    <x v="0"/>
    <s v="California"/>
    <s v="Los Angeles County"/>
    <x v="3"/>
    <x v="8"/>
    <x v="2"/>
  </r>
  <r>
    <s v="TX501588"/>
    <x v="8"/>
    <x v="2"/>
    <n v="21.3"/>
    <n v="63.900000000000006"/>
    <x v="58"/>
    <d v="2025-03-01T00:00:00"/>
    <s v="M"/>
    <x v="0"/>
    <x v="2"/>
    <s v="California"/>
    <s v="Los Angeles County"/>
    <x v="3"/>
    <x v="8"/>
    <x v="1"/>
  </r>
  <r>
    <s v="TX501589"/>
    <x v="8"/>
    <x v="0"/>
    <n v="36.299999999999997"/>
    <n v="36.299999999999997"/>
    <x v="58"/>
    <d v="2025-03-02T00:00:00"/>
    <s v="O"/>
    <x v="4"/>
    <x v="0"/>
    <s v="California"/>
    <s v="Los Angeles County"/>
    <x v="1"/>
    <x v="8"/>
    <x v="3"/>
  </r>
  <r>
    <s v="TX501590"/>
    <x v="6"/>
    <x v="2"/>
    <n v="110.5"/>
    <n v="331.5"/>
    <x v="58"/>
    <d v="2025-03-01T00:00:00"/>
    <s v="F"/>
    <x v="0"/>
    <x v="3"/>
    <s v="California"/>
    <s v="Los Angeles County"/>
    <x v="3"/>
    <x v="8"/>
    <x v="2"/>
  </r>
  <r>
    <s v="TX501591"/>
    <x v="10"/>
    <x v="3"/>
    <n v="32.6"/>
    <n v="228.20000000000002"/>
    <x v="58"/>
    <d v="2025-03-02T00:00:00"/>
    <s v="F"/>
    <x v="0"/>
    <x v="1"/>
    <s v="California"/>
    <s v="Los Angeles County"/>
    <x v="1"/>
    <x v="8"/>
    <x v="2"/>
  </r>
  <r>
    <s v="TX501592"/>
    <x v="5"/>
    <x v="2"/>
    <n v="55.6"/>
    <n v="166.8"/>
    <x v="59"/>
    <d v="2025-03-14T00:00:00"/>
    <s v="F"/>
    <x v="0"/>
    <x v="0"/>
    <s v="California"/>
    <s v="Los Angeles County"/>
    <x v="10"/>
    <x v="8"/>
    <x v="2"/>
  </r>
  <r>
    <s v="TX501593"/>
    <x v="1"/>
    <x v="12"/>
    <n v="38"/>
    <n v="152"/>
    <x v="59"/>
    <d v="2025-03-02T00:00:00"/>
    <s v="F"/>
    <x v="3"/>
    <x v="2"/>
    <s v="California"/>
    <s v="Placer County"/>
    <x v="3"/>
    <x v="8"/>
    <x v="2"/>
  </r>
  <r>
    <s v="TX501594"/>
    <x v="10"/>
    <x v="1"/>
    <n v="51.8"/>
    <n v="103.6"/>
    <x v="59"/>
    <d v="2025-03-07T00:00:00"/>
    <s v="M"/>
    <x v="1"/>
    <x v="4"/>
    <s v="California"/>
    <s v="Sacramento County"/>
    <x v="4"/>
    <x v="8"/>
    <x v="1"/>
  </r>
  <r>
    <s v="TX501595"/>
    <x v="11"/>
    <x v="8"/>
    <n v="28.7"/>
    <n v="229.6"/>
    <x v="59"/>
    <d v="2025-03-06T00:00:00"/>
    <s v="F"/>
    <x v="0"/>
    <x v="0"/>
    <s v="California"/>
    <s v="Sacramento County"/>
    <x v="0"/>
    <x v="8"/>
    <x v="2"/>
  </r>
  <r>
    <s v="TX501596"/>
    <x v="6"/>
    <x v="4"/>
    <n v="52.2"/>
    <n v="626.40000000000009"/>
    <x v="59"/>
    <d v="2025-03-01T00:00:00"/>
    <s v="M"/>
    <x v="0"/>
    <x v="1"/>
    <s v="California"/>
    <s v="Sacramento County"/>
    <x v="7"/>
    <x v="8"/>
    <x v="1"/>
  </r>
  <r>
    <s v="TX501597"/>
    <x v="1"/>
    <x v="1"/>
    <n v="68.2"/>
    <n v="136.4"/>
    <x v="59"/>
    <d v="2025-03-02T00:00:00"/>
    <s v=""/>
    <x v="2"/>
    <x v="0"/>
    <s v="California"/>
    <s v="San Bernardino County"/>
    <x v="3"/>
    <x v="8"/>
    <x v="0"/>
  </r>
  <r>
    <s v="TX501598"/>
    <x v="0"/>
    <x v="2"/>
    <n v="34"/>
    <n v="102"/>
    <x v="59"/>
    <d v="2025-03-05T00:00:00"/>
    <s v="F"/>
    <x v="0"/>
    <x v="0"/>
    <s v="California"/>
    <s v="San Diego County"/>
    <x v="5"/>
    <x v="8"/>
    <x v="2"/>
  </r>
  <r>
    <s v="TX501599"/>
    <x v="8"/>
    <x v="2"/>
    <n v="19.100000000000001"/>
    <n v="57.300000000000004"/>
    <x v="59"/>
    <d v="2025-03-02T00:00:00"/>
    <s v="F"/>
    <x v="4"/>
    <x v="0"/>
    <s v="California"/>
    <s v="San Diego County"/>
    <x v="3"/>
    <x v="8"/>
    <x v="2"/>
  </r>
  <r>
    <s v="TX501600"/>
    <x v="5"/>
    <x v="8"/>
    <n v="34"/>
    <n v="272"/>
    <x v="59"/>
    <d v="2025-03-09T00:00:00"/>
    <s v="F"/>
    <x v="4"/>
    <x v="0"/>
    <s v="California"/>
    <s v="San Diego County"/>
    <x v="9"/>
    <x v="8"/>
    <x v="2"/>
  </r>
  <r>
    <s v="TX501601"/>
    <x v="12"/>
    <x v="1"/>
    <n v="109.1"/>
    <n v="218.2"/>
    <x v="59"/>
    <d v="2025-03-03T00:00:00"/>
    <s v="M"/>
    <x v="0"/>
    <x v="2"/>
    <s v="California"/>
    <s v="San Diego County"/>
    <x v="1"/>
    <x v="8"/>
    <x v="1"/>
  </r>
  <r>
    <s v="TX501602"/>
    <x v="18"/>
    <x v="1"/>
    <n v="64.8"/>
    <n v="129.6"/>
    <x v="59"/>
    <d v="2025-03-03T00:00:00"/>
    <s v="M"/>
    <x v="0"/>
    <x v="2"/>
    <s v="California"/>
    <s v="San Diego County"/>
    <x v="1"/>
    <x v="8"/>
    <x v="1"/>
  </r>
  <r>
    <s v="TX501603"/>
    <x v="10"/>
    <x v="1"/>
    <n v="21.1"/>
    <n v="42.2"/>
    <x v="59"/>
    <d v="2025-03-01T00:00:00"/>
    <s v="F"/>
    <x v="1"/>
    <x v="0"/>
    <s v="California"/>
    <s v="Santa Clara County"/>
    <x v="7"/>
    <x v="8"/>
    <x v="2"/>
  </r>
  <r>
    <s v="TX501604"/>
    <x v="0"/>
    <x v="8"/>
    <n v="21.3"/>
    <n v="170.4"/>
    <x v="59"/>
    <d v="2025-03-03T00:00:00"/>
    <s v="M"/>
    <x v="3"/>
    <x v="1"/>
    <s v="California"/>
    <s v="Sonoma County"/>
    <x v="1"/>
    <x v="8"/>
    <x v="1"/>
  </r>
  <r>
    <s v="TX501605"/>
    <x v="9"/>
    <x v="2"/>
    <n v="24.3"/>
    <n v="72.900000000000006"/>
    <x v="59"/>
    <d v="2025-03-02T00:00:00"/>
    <s v="M"/>
    <x v="1"/>
    <x v="0"/>
    <s v="California"/>
    <s v="Stanislaus County"/>
    <x v="3"/>
    <x v="8"/>
    <x v="1"/>
  </r>
  <r>
    <s v="TX501606"/>
    <x v="8"/>
    <x v="0"/>
    <n v="43.3"/>
    <n v="43.3"/>
    <x v="59"/>
    <d v="2025-03-05T00:00:00"/>
    <s v="M"/>
    <x v="1"/>
    <x v="1"/>
    <s v="California"/>
    <s v="Ventura County"/>
    <x v="5"/>
    <x v="8"/>
    <x v="1"/>
  </r>
  <r>
    <s v="TX501607"/>
    <x v="9"/>
    <x v="2"/>
    <n v="41"/>
    <n v="123"/>
    <x v="59"/>
    <d v="2025-03-02T00:00:00"/>
    <s v="F"/>
    <x v="3"/>
    <x v="4"/>
    <s v="California"/>
    <s v="Alameda County"/>
    <x v="3"/>
    <x v="8"/>
    <x v="2"/>
  </r>
  <r>
    <s v="TX501608"/>
    <x v="16"/>
    <x v="2"/>
    <n v="54.1"/>
    <n v="162.30000000000001"/>
    <x v="59"/>
    <d v="2025-03-03T00:00:00"/>
    <s v="F"/>
    <x v="4"/>
    <x v="0"/>
    <s v="California"/>
    <s v="Alameda County"/>
    <x v="1"/>
    <x v="8"/>
    <x v="2"/>
  </r>
  <r>
    <s v="TX501609"/>
    <x v="11"/>
    <x v="1"/>
    <n v="39"/>
    <n v="78"/>
    <x v="59"/>
    <d v="2025-03-02T00:00:00"/>
    <s v="M"/>
    <x v="1"/>
    <x v="2"/>
    <s v="California"/>
    <s v="Contra Costa County"/>
    <x v="3"/>
    <x v="8"/>
    <x v="1"/>
  </r>
  <r>
    <s v="TX501610"/>
    <x v="8"/>
    <x v="1"/>
    <n v="40.299999999999997"/>
    <n v="80.599999999999994"/>
    <x v="59"/>
    <d v="2025-03-03T00:00:00"/>
    <s v="M"/>
    <x v="3"/>
    <x v="0"/>
    <s v="California"/>
    <s v="Glenn County"/>
    <x v="1"/>
    <x v="8"/>
    <x v="1"/>
  </r>
  <r>
    <s v="TX501611"/>
    <x v="8"/>
    <x v="2"/>
    <n v="24.1"/>
    <n v="72.300000000000011"/>
    <x v="59"/>
    <d v="2025-03-02T00:00:00"/>
    <s v="M"/>
    <x v="0"/>
    <x v="2"/>
    <s v="California"/>
    <s v="Kings County"/>
    <x v="3"/>
    <x v="8"/>
    <x v="1"/>
  </r>
  <r>
    <s v="TX501612"/>
    <x v="6"/>
    <x v="9"/>
    <n v="52.3"/>
    <n v="261.5"/>
    <x v="59"/>
    <d v="2025-03-02T00:00:00"/>
    <s v="M"/>
    <x v="2"/>
    <x v="0"/>
    <s v="California"/>
    <s v="Los Angeles County"/>
    <x v="3"/>
    <x v="8"/>
    <x v="1"/>
  </r>
  <r>
    <s v="TX501613"/>
    <x v="12"/>
    <x v="12"/>
    <n v="68.8"/>
    <n v="275.2"/>
    <x v="59"/>
    <d v="2025-03-05T00:00:00"/>
    <s v="F"/>
    <x v="4"/>
    <x v="2"/>
    <s v="California"/>
    <s v="Los Angeles County"/>
    <x v="5"/>
    <x v="8"/>
    <x v="2"/>
  </r>
  <r>
    <s v="TX501614"/>
    <x v="2"/>
    <x v="1"/>
    <n v="128.80000000000001"/>
    <n v="257.60000000000002"/>
    <x v="60"/>
    <d v="2025-03-05T00:00:00"/>
    <s v="F"/>
    <x v="1"/>
    <x v="1"/>
    <s v="California"/>
    <s v="Los Angeles County"/>
    <x v="2"/>
    <x v="9"/>
    <x v="2"/>
  </r>
  <r>
    <s v="TX501615"/>
    <x v="15"/>
    <x v="9"/>
    <n v="48.2"/>
    <n v="241"/>
    <x v="60"/>
    <d v="2025-03-04T00:00:00"/>
    <s v="F"/>
    <x v="3"/>
    <x v="0"/>
    <s v="California"/>
    <s v="Los Angeles County"/>
    <x v="1"/>
    <x v="9"/>
    <x v="2"/>
  </r>
  <r>
    <s v="TX501616"/>
    <x v="10"/>
    <x v="0"/>
    <n v="39.700000000000003"/>
    <n v="39.700000000000003"/>
    <x v="60"/>
    <d v="2025-03-04T00:00:00"/>
    <s v="F"/>
    <x v="0"/>
    <x v="1"/>
    <s v="California"/>
    <s v="Los Angeles County"/>
    <x v="1"/>
    <x v="9"/>
    <x v="2"/>
  </r>
  <r>
    <s v="TX501617"/>
    <x v="9"/>
    <x v="0"/>
    <n v="59.7"/>
    <n v="59.7"/>
    <x v="60"/>
    <d v="2025-03-05T00:00:00"/>
    <s v="F"/>
    <x v="4"/>
    <x v="0"/>
    <s v="California"/>
    <s v="Los Angeles County"/>
    <x v="2"/>
    <x v="9"/>
    <x v="2"/>
  </r>
  <r>
    <s v="TX501618"/>
    <x v="6"/>
    <x v="0"/>
    <n v="48.3"/>
    <n v="48.3"/>
    <x v="60"/>
    <d v="2025-03-16T00:00:00"/>
    <s v="O"/>
    <x v="0"/>
    <x v="2"/>
    <s v="California"/>
    <s v="Los Angeles County"/>
    <x v="12"/>
    <x v="9"/>
    <x v="3"/>
  </r>
  <r>
    <s v="TX501619"/>
    <x v="8"/>
    <x v="2"/>
    <n v="45.5"/>
    <n v="136.5"/>
    <x v="60"/>
    <d v="2025-03-04T00:00:00"/>
    <s v="M"/>
    <x v="2"/>
    <x v="1"/>
    <s v="California"/>
    <s v="Los Angeles County"/>
    <x v="1"/>
    <x v="9"/>
    <x v="1"/>
  </r>
  <r>
    <s v="TX501620"/>
    <x v="9"/>
    <x v="6"/>
    <n v="51"/>
    <n v="1377"/>
    <x v="60"/>
    <d v="2025-03-02T00:00:00"/>
    <s v="F"/>
    <x v="2"/>
    <x v="0"/>
    <s v="California"/>
    <s v="Los Angeles County"/>
    <x v="7"/>
    <x v="9"/>
    <x v="2"/>
  </r>
  <r>
    <s v="TX501621"/>
    <x v="4"/>
    <x v="13"/>
    <n v="20.399999999999999"/>
    <n v="122.39999999999999"/>
    <x v="60"/>
    <d v="2025-03-03T00:00:00"/>
    <s v="M"/>
    <x v="2"/>
    <x v="0"/>
    <s v="California"/>
    <s v="Los Angeles County"/>
    <x v="3"/>
    <x v="9"/>
    <x v="1"/>
  </r>
  <r>
    <s v="TX501622"/>
    <x v="10"/>
    <x v="1"/>
    <n v="30.4"/>
    <n v="60.8"/>
    <x v="60"/>
    <d v="2025-03-04T00:00:00"/>
    <s v="M"/>
    <x v="2"/>
    <x v="0"/>
    <s v="California"/>
    <s v="Los Angeles County"/>
    <x v="1"/>
    <x v="9"/>
    <x v="1"/>
  </r>
  <r>
    <s v="TX501623"/>
    <x v="7"/>
    <x v="1"/>
    <n v="71.5"/>
    <n v="143"/>
    <x v="60"/>
    <d v="2025-03-06T00:00:00"/>
    <s v="F"/>
    <x v="0"/>
    <x v="0"/>
    <s v="California"/>
    <s v="Los Angeles County"/>
    <x v="5"/>
    <x v="9"/>
    <x v="2"/>
  </r>
  <r>
    <s v="TX501624"/>
    <x v="8"/>
    <x v="13"/>
    <n v="18"/>
    <n v="108"/>
    <x v="60"/>
    <d v="2025-03-03T00:00:00"/>
    <s v="O"/>
    <x v="1"/>
    <x v="2"/>
    <s v="California"/>
    <s v="Sacramento County"/>
    <x v="3"/>
    <x v="9"/>
    <x v="3"/>
  </r>
  <r>
    <s v="TX501625"/>
    <x v="15"/>
    <x v="5"/>
    <n v="45.6"/>
    <n v="501.6"/>
    <x v="60"/>
    <d v="2025-03-03T00:00:00"/>
    <s v="O"/>
    <x v="1"/>
    <x v="1"/>
    <s v="California"/>
    <s v="San Bernardino County"/>
    <x v="3"/>
    <x v="9"/>
    <x v="3"/>
  </r>
  <r>
    <s v="TX501626"/>
    <x v="9"/>
    <x v="0"/>
    <n v="31.8"/>
    <n v="31.8"/>
    <x v="60"/>
    <d v="2025-03-06T00:00:00"/>
    <s v="F"/>
    <x v="0"/>
    <x v="2"/>
    <s v="California"/>
    <s v="San Bernardino County"/>
    <x v="5"/>
    <x v="9"/>
    <x v="2"/>
  </r>
  <r>
    <s v="TX501627"/>
    <x v="8"/>
    <x v="9"/>
    <n v="19.899999999999999"/>
    <n v="99.5"/>
    <x v="60"/>
    <d v="2025-03-03T00:00:00"/>
    <s v="F"/>
    <x v="1"/>
    <x v="0"/>
    <s v="California"/>
    <s v="San Bernardino County"/>
    <x v="3"/>
    <x v="9"/>
    <x v="2"/>
  </r>
  <r>
    <s v="TX501628"/>
    <x v="12"/>
    <x v="11"/>
    <n v="52.1"/>
    <n v="468.90000000000003"/>
    <x v="60"/>
    <d v="2025-03-04T00:00:00"/>
    <s v="M"/>
    <x v="0"/>
    <x v="0"/>
    <s v="California"/>
    <s v="San Diego County"/>
    <x v="1"/>
    <x v="9"/>
    <x v="1"/>
  </r>
  <r>
    <s v="TX501629"/>
    <x v="1"/>
    <x v="3"/>
    <n v="45.9"/>
    <n v="321.3"/>
    <x v="60"/>
    <d v="2025-03-03T00:00:00"/>
    <s v="M"/>
    <x v="0"/>
    <x v="1"/>
    <s v="California"/>
    <s v="San Diego County"/>
    <x v="3"/>
    <x v="9"/>
    <x v="1"/>
  </r>
  <r>
    <s v="TX501630"/>
    <x v="1"/>
    <x v="7"/>
    <n v="115.9"/>
    <n v="1159"/>
    <x v="60"/>
    <d v="2025-03-05T00:00:00"/>
    <s v="F"/>
    <x v="1"/>
    <x v="0"/>
    <s v="California"/>
    <s v="San Diego County"/>
    <x v="2"/>
    <x v="9"/>
    <x v="2"/>
  </r>
  <r>
    <s v="TX501631"/>
    <x v="6"/>
    <x v="11"/>
    <n v="86"/>
    <n v="774"/>
    <x v="60"/>
    <d v="2025-03-07T00:00:00"/>
    <s v="F"/>
    <x v="0"/>
    <x v="1"/>
    <s v="California"/>
    <s v="San Diego County"/>
    <x v="0"/>
    <x v="9"/>
    <x v="2"/>
  </r>
  <r>
    <s v="TX501632"/>
    <x v="7"/>
    <x v="3"/>
    <n v="73.599999999999994"/>
    <n v="515.19999999999993"/>
    <x v="60"/>
    <d v="2025-03-04T00:00:00"/>
    <s v="F"/>
    <x v="0"/>
    <x v="0"/>
    <s v="California"/>
    <s v="San Francisco"/>
    <x v="1"/>
    <x v="9"/>
    <x v="2"/>
  </r>
  <r>
    <s v="TX501633"/>
    <x v="10"/>
    <x v="2"/>
    <n v="26.7"/>
    <n v="80.099999999999994"/>
    <x v="60"/>
    <d v="2025-03-06T00:00:00"/>
    <s v="F"/>
    <x v="0"/>
    <x v="0"/>
    <s v="California"/>
    <s v="Santa Clara County"/>
    <x v="5"/>
    <x v="9"/>
    <x v="2"/>
  </r>
  <r>
    <s v="TX501634"/>
    <x v="8"/>
    <x v="3"/>
    <n v="46.6"/>
    <n v="326.2"/>
    <x v="60"/>
    <d v="2025-03-04T00:00:00"/>
    <s v=""/>
    <x v="3"/>
    <x v="0"/>
    <s v="California"/>
    <s v="Santa Clara County"/>
    <x v="1"/>
    <x v="9"/>
    <x v="0"/>
  </r>
  <r>
    <s v="TX501635"/>
    <x v="3"/>
    <x v="2"/>
    <n v="84.6"/>
    <n v="253.79999999999998"/>
    <x v="60"/>
    <d v="2025-03-04T00:00:00"/>
    <s v="M"/>
    <x v="4"/>
    <x v="0"/>
    <s v="California"/>
    <s v="Santa Clara County"/>
    <x v="1"/>
    <x v="9"/>
    <x v="1"/>
  </r>
  <r>
    <s v="TX501636"/>
    <x v="7"/>
    <x v="21"/>
    <n v="41.5"/>
    <n v="581"/>
    <x v="60"/>
    <d v="2025-03-16T00:00:00"/>
    <s v="M"/>
    <x v="1"/>
    <x v="0"/>
    <s v="California"/>
    <s v="Shasta County"/>
    <x v="12"/>
    <x v="9"/>
    <x v="1"/>
  </r>
  <r>
    <s v="TX501637"/>
    <x v="8"/>
    <x v="0"/>
    <n v="32.799999999999997"/>
    <n v="32.799999999999997"/>
    <x v="60"/>
    <d v="2025-03-05T00:00:00"/>
    <s v="M"/>
    <x v="0"/>
    <x v="2"/>
    <s v="California"/>
    <s v="Siskiyou County"/>
    <x v="2"/>
    <x v="9"/>
    <x v="1"/>
  </r>
  <r>
    <s v="TX501638"/>
    <x v="4"/>
    <x v="3"/>
    <n v="46.7"/>
    <n v="326.90000000000003"/>
    <x v="60"/>
    <d v="2025-03-04T00:00:00"/>
    <s v="O"/>
    <x v="0"/>
    <x v="2"/>
    <s v="California"/>
    <s v="Sonoma County"/>
    <x v="1"/>
    <x v="9"/>
    <x v="3"/>
  </r>
  <r>
    <s v="TX501639"/>
    <x v="15"/>
    <x v="3"/>
    <n v="21"/>
    <n v="147"/>
    <x v="60"/>
    <d v="2025-03-05T00:00:00"/>
    <s v="M"/>
    <x v="2"/>
    <x v="1"/>
    <s v="California"/>
    <s v="Alameda County"/>
    <x v="2"/>
    <x v="9"/>
    <x v="1"/>
  </r>
  <r>
    <s v="TX501640"/>
    <x v="5"/>
    <x v="3"/>
    <n v="29.4"/>
    <n v="205.79999999999998"/>
    <x v="60"/>
    <d v="2025-03-02T00:00:00"/>
    <s v="M"/>
    <x v="3"/>
    <x v="2"/>
    <s v="California"/>
    <s v="Alameda County"/>
    <x v="7"/>
    <x v="9"/>
    <x v="1"/>
  </r>
  <r>
    <s v="TX501641"/>
    <x v="15"/>
    <x v="1"/>
    <n v="32.299999999999997"/>
    <n v="64.599999999999994"/>
    <x v="60"/>
    <d v="2025-03-03T00:00:00"/>
    <s v="M"/>
    <x v="0"/>
    <x v="2"/>
    <s v="California"/>
    <s v="Alameda County"/>
    <x v="3"/>
    <x v="9"/>
    <x v="1"/>
  </r>
  <r>
    <s v="TX501642"/>
    <x v="6"/>
    <x v="0"/>
    <n v="42.2"/>
    <n v="42.2"/>
    <x v="61"/>
    <d v="2025-03-05T00:00:00"/>
    <s v="F"/>
    <x v="0"/>
    <x v="2"/>
    <s v="California"/>
    <s v="Alameda County"/>
    <x v="1"/>
    <x v="9"/>
    <x v="2"/>
  </r>
  <r>
    <s v="TX501643"/>
    <x v="6"/>
    <x v="0"/>
    <n v="53.7"/>
    <n v="53.7"/>
    <x v="61"/>
    <d v="2025-03-05T00:00:00"/>
    <s v="M"/>
    <x v="1"/>
    <x v="1"/>
    <s v="California"/>
    <s v="Contra Costa County"/>
    <x v="1"/>
    <x v="9"/>
    <x v="1"/>
  </r>
  <r>
    <s v="TX501644"/>
    <x v="2"/>
    <x v="1"/>
    <n v="123.9"/>
    <n v="247.8"/>
    <x v="61"/>
    <d v="2025-03-06T00:00:00"/>
    <s v="M"/>
    <x v="2"/>
    <x v="0"/>
    <s v="California"/>
    <s v="Contra Costa County"/>
    <x v="2"/>
    <x v="9"/>
    <x v="1"/>
  </r>
  <r>
    <s v="TX501645"/>
    <x v="4"/>
    <x v="2"/>
    <n v="35.9"/>
    <n v="107.69999999999999"/>
    <x v="61"/>
    <d v="2025-03-05T00:00:00"/>
    <s v="M"/>
    <x v="2"/>
    <x v="0"/>
    <s v="California"/>
    <s v="Kern County"/>
    <x v="1"/>
    <x v="9"/>
    <x v="1"/>
  </r>
  <r>
    <s v="TX501646"/>
    <x v="4"/>
    <x v="1"/>
    <n v="23.6"/>
    <n v="47.2"/>
    <x v="61"/>
    <d v="2025-03-06T00:00:00"/>
    <s v="M"/>
    <x v="0"/>
    <x v="2"/>
    <s v="California"/>
    <s v="Los Angeles County"/>
    <x v="2"/>
    <x v="9"/>
    <x v="1"/>
  </r>
  <r>
    <s v="TX501647"/>
    <x v="15"/>
    <x v="36"/>
    <n v="45.7"/>
    <n v="1599.5"/>
    <x v="61"/>
    <d v="2025-03-04T00:00:00"/>
    <s v="M"/>
    <x v="0"/>
    <x v="1"/>
    <s v="California"/>
    <s v="Los Angeles County"/>
    <x v="3"/>
    <x v="9"/>
    <x v="1"/>
  </r>
  <r>
    <s v="TX501648"/>
    <x v="6"/>
    <x v="5"/>
    <n v="118.3"/>
    <n v="1301.3"/>
    <x v="61"/>
    <d v="2025-03-05T00:00:00"/>
    <s v="M"/>
    <x v="4"/>
    <x v="2"/>
    <s v="California"/>
    <s v="Los Angeles County"/>
    <x v="1"/>
    <x v="9"/>
    <x v="1"/>
  </r>
  <r>
    <s v="TX501649"/>
    <x v="19"/>
    <x v="0"/>
    <n v="36"/>
    <n v="36"/>
    <x v="61"/>
    <d v="2025-03-04T00:00:00"/>
    <s v="F"/>
    <x v="0"/>
    <x v="1"/>
    <s v="California"/>
    <s v="Los Angeles County"/>
    <x v="3"/>
    <x v="9"/>
    <x v="2"/>
  </r>
  <r>
    <s v="TX501650"/>
    <x v="8"/>
    <x v="1"/>
    <n v="37.1"/>
    <n v="74.2"/>
    <x v="61"/>
    <d v="2025-03-06T00:00:00"/>
    <s v="F"/>
    <x v="2"/>
    <x v="0"/>
    <s v="California"/>
    <s v="Los Angeles County"/>
    <x v="2"/>
    <x v="9"/>
    <x v="2"/>
  </r>
  <r>
    <s v="TX501651"/>
    <x v="18"/>
    <x v="2"/>
    <n v="45.1"/>
    <n v="135.30000000000001"/>
    <x v="61"/>
    <d v="2025-03-05T00:00:00"/>
    <s v="F"/>
    <x v="1"/>
    <x v="2"/>
    <s v="California"/>
    <s v="Los Angeles County"/>
    <x v="1"/>
    <x v="9"/>
    <x v="2"/>
  </r>
  <r>
    <s v="TX501652"/>
    <x v="5"/>
    <x v="27"/>
    <n v="37.9"/>
    <n v="606.4"/>
    <x v="61"/>
    <d v="2025-03-04T00:00:00"/>
    <s v="F"/>
    <x v="3"/>
    <x v="2"/>
    <s v="California"/>
    <s v="Los Angeles County"/>
    <x v="3"/>
    <x v="9"/>
    <x v="2"/>
  </r>
  <r>
    <s v="TX501653"/>
    <x v="2"/>
    <x v="1"/>
    <n v="121.6"/>
    <n v="243.2"/>
    <x v="61"/>
    <d v="2025-03-06T00:00:00"/>
    <s v="M"/>
    <x v="3"/>
    <x v="2"/>
    <s v="California"/>
    <s v="Los Angeles County"/>
    <x v="2"/>
    <x v="9"/>
    <x v="1"/>
  </r>
  <r>
    <s v="TX501654"/>
    <x v="5"/>
    <x v="3"/>
    <n v="38.200000000000003"/>
    <n v="267.40000000000003"/>
    <x v="61"/>
    <d v="2025-03-06T00:00:00"/>
    <s v="F"/>
    <x v="0"/>
    <x v="0"/>
    <s v="California"/>
    <s v="Los Angeles County"/>
    <x v="2"/>
    <x v="9"/>
    <x v="2"/>
  </r>
  <r>
    <s v="TX501655"/>
    <x v="17"/>
    <x v="1"/>
    <n v="37.200000000000003"/>
    <n v="74.400000000000006"/>
    <x v="61"/>
    <d v="2025-03-06T00:00:00"/>
    <s v="M"/>
    <x v="4"/>
    <x v="0"/>
    <s v="California"/>
    <s v="Los Angeles County"/>
    <x v="2"/>
    <x v="9"/>
    <x v="1"/>
  </r>
  <r>
    <s v="TX501656"/>
    <x v="2"/>
    <x v="12"/>
    <n v="115.7"/>
    <n v="462.8"/>
    <x v="61"/>
    <d v="2025-03-06T00:00:00"/>
    <s v="F"/>
    <x v="1"/>
    <x v="0"/>
    <s v="California"/>
    <s v="Los Angeles County"/>
    <x v="2"/>
    <x v="9"/>
    <x v="2"/>
  </r>
  <r>
    <s v="TX501657"/>
    <x v="2"/>
    <x v="13"/>
    <n v="99.4"/>
    <n v="596.40000000000009"/>
    <x v="61"/>
    <d v="2025-03-06T00:00:00"/>
    <s v="M"/>
    <x v="0"/>
    <x v="2"/>
    <s v="California"/>
    <s v="Los Angeles County"/>
    <x v="2"/>
    <x v="9"/>
    <x v="1"/>
  </r>
  <r>
    <s v="TX501658"/>
    <x v="11"/>
    <x v="0"/>
    <n v="38.700000000000003"/>
    <n v="38.700000000000003"/>
    <x v="61"/>
    <d v="2025-03-04T00:00:00"/>
    <s v="F"/>
    <x v="2"/>
    <x v="0"/>
    <s v="California"/>
    <s v="Orange County"/>
    <x v="3"/>
    <x v="9"/>
    <x v="2"/>
  </r>
  <r>
    <s v="TX501659"/>
    <x v="4"/>
    <x v="1"/>
    <n v="35.5"/>
    <n v="71"/>
    <x v="61"/>
    <d v="2025-03-06T00:00:00"/>
    <s v="M"/>
    <x v="0"/>
    <x v="2"/>
    <s v="California"/>
    <s v="Orange County"/>
    <x v="2"/>
    <x v="9"/>
    <x v="1"/>
  </r>
  <r>
    <s v="TX501660"/>
    <x v="2"/>
    <x v="12"/>
    <n v="93.3"/>
    <n v="373.2"/>
    <x v="61"/>
    <d v="2025-03-06T00:00:00"/>
    <s v="F"/>
    <x v="0"/>
    <x v="2"/>
    <s v="California"/>
    <s v="Sacramento County"/>
    <x v="2"/>
    <x v="9"/>
    <x v="2"/>
  </r>
  <r>
    <s v="TX501661"/>
    <x v="16"/>
    <x v="0"/>
    <n v="31.4"/>
    <n v="31.4"/>
    <x v="61"/>
    <d v="2025-03-08T00:00:00"/>
    <s v="F"/>
    <x v="2"/>
    <x v="2"/>
    <s v="California"/>
    <s v="Sacramento County"/>
    <x v="0"/>
    <x v="9"/>
    <x v="2"/>
  </r>
  <r>
    <s v="TX501662"/>
    <x v="1"/>
    <x v="0"/>
    <n v="85.9"/>
    <n v="85.9"/>
    <x v="61"/>
    <d v="2025-03-06T00:00:00"/>
    <s v="M"/>
    <x v="1"/>
    <x v="0"/>
    <s v="California"/>
    <s v="Sacramento County"/>
    <x v="2"/>
    <x v="9"/>
    <x v="1"/>
  </r>
  <r>
    <s v="TX501663"/>
    <x v="6"/>
    <x v="8"/>
    <n v="41.7"/>
    <n v="333.6"/>
    <x v="61"/>
    <d v="2025-03-11T00:00:00"/>
    <s v="M"/>
    <x v="0"/>
    <x v="2"/>
    <s v="California"/>
    <s v="San Bernardino County"/>
    <x v="9"/>
    <x v="9"/>
    <x v="1"/>
  </r>
  <r>
    <s v="TX501664"/>
    <x v="8"/>
    <x v="12"/>
    <n v="31.5"/>
    <n v="126"/>
    <x v="61"/>
    <d v="2025-03-04T00:00:00"/>
    <s v="F"/>
    <x v="0"/>
    <x v="0"/>
    <s v="California"/>
    <s v="San Bernardino County"/>
    <x v="3"/>
    <x v="9"/>
    <x v="2"/>
  </r>
  <r>
    <s v="TX501665"/>
    <x v="8"/>
    <x v="1"/>
    <n v="36.299999999999997"/>
    <n v="72.599999999999994"/>
    <x v="61"/>
    <d v="2025-03-04T00:00:00"/>
    <s v="F"/>
    <x v="0"/>
    <x v="4"/>
    <s v="California"/>
    <s v="San Diego County"/>
    <x v="3"/>
    <x v="9"/>
    <x v="2"/>
  </r>
  <r>
    <s v="TX501666"/>
    <x v="8"/>
    <x v="2"/>
    <n v="33.4"/>
    <n v="100.19999999999999"/>
    <x v="61"/>
    <d v="2025-03-04T00:00:00"/>
    <s v="F"/>
    <x v="3"/>
    <x v="0"/>
    <s v="California"/>
    <s v="San Francisco"/>
    <x v="3"/>
    <x v="9"/>
    <x v="2"/>
  </r>
  <r>
    <s v="TX501667"/>
    <x v="2"/>
    <x v="2"/>
    <n v="65.2"/>
    <n v="195.60000000000002"/>
    <x v="61"/>
    <d v="2025-03-04T00:00:00"/>
    <s v="F"/>
    <x v="2"/>
    <x v="2"/>
    <s v="California"/>
    <s v="San Joaquin County"/>
    <x v="3"/>
    <x v="9"/>
    <x v="2"/>
  </r>
  <r>
    <s v="TX501668"/>
    <x v="8"/>
    <x v="11"/>
    <n v="65.5"/>
    <n v="589.5"/>
    <x v="61"/>
    <d v="2025-03-06T00:00:00"/>
    <s v="F"/>
    <x v="0"/>
    <x v="2"/>
    <s v="California"/>
    <s v="San Mateo County"/>
    <x v="2"/>
    <x v="9"/>
    <x v="2"/>
  </r>
  <r>
    <s v="TX501669"/>
    <x v="6"/>
    <x v="2"/>
    <n v="52.8"/>
    <n v="158.39999999999998"/>
    <x v="61"/>
    <d v="2025-03-06T00:00:00"/>
    <s v="M"/>
    <x v="2"/>
    <x v="0"/>
    <s v="California"/>
    <s v="San Mateo County"/>
    <x v="2"/>
    <x v="9"/>
    <x v="1"/>
  </r>
  <r>
    <s v="TX501670"/>
    <x v="9"/>
    <x v="9"/>
    <n v="24"/>
    <n v="120"/>
    <x v="61"/>
    <d v="2025-03-07T00:00:00"/>
    <s v="M"/>
    <x v="0"/>
    <x v="1"/>
    <s v="California"/>
    <s v="Santa Clara County"/>
    <x v="5"/>
    <x v="9"/>
    <x v="1"/>
  </r>
  <r>
    <s v="TX501671"/>
    <x v="3"/>
    <x v="2"/>
    <n v="51.2"/>
    <n v="153.60000000000002"/>
    <x v="61"/>
    <d v="2025-03-04T00:00:00"/>
    <s v="F"/>
    <x v="0"/>
    <x v="0"/>
    <s v="California"/>
    <s v="Santa Cruz County"/>
    <x v="3"/>
    <x v="9"/>
    <x v="2"/>
  </r>
  <r>
    <s v="TX501672"/>
    <x v="5"/>
    <x v="2"/>
    <n v="28.3"/>
    <n v="84.9"/>
    <x v="61"/>
    <d v="2025-03-05T00:00:00"/>
    <s v="M"/>
    <x v="4"/>
    <x v="0"/>
    <s v="California"/>
    <s v="Stanislaus County"/>
    <x v="1"/>
    <x v="9"/>
    <x v="1"/>
  </r>
  <r>
    <s v="TX501673"/>
    <x v="6"/>
    <x v="2"/>
    <n v="42.3"/>
    <n v="126.89999999999999"/>
    <x v="61"/>
    <d v="2025-03-03T00:00:00"/>
    <s v="F"/>
    <x v="2"/>
    <x v="1"/>
    <s v="California"/>
    <s v="Stanislaus County"/>
    <x v="7"/>
    <x v="9"/>
    <x v="2"/>
  </r>
  <r>
    <s v="TX501674"/>
    <x v="2"/>
    <x v="8"/>
    <n v="163.30000000000001"/>
    <n v="1306.4000000000001"/>
    <x v="62"/>
    <d v="2025-03-05T00:00:00"/>
    <s v="F"/>
    <x v="1"/>
    <x v="0"/>
    <s v="California"/>
    <s v="Ventura County"/>
    <x v="3"/>
    <x v="9"/>
    <x v="2"/>
  </r>
  <r>
    <s v="TX501675"/>
    <x v="6"/>
    <x v="3"/>
    <n v="47.3"/>
    <n v="331.09999999999997"/>
    <x v="62"/>
    <d v="2025-03-07T00:00:00"/>
    <s v="F"/>
    <x v="4"/>
    <x v="1"/>
    <s v="California"/>
    <s v="Alameda County"/>
    <x v="2"/>
    <x v="9"/>
    <x v="2"/>
  </r>
  <r>
    <s v="TX501676"/>
    <x v="8"/>
    <x v="27"/>
    <n v="27.3"/>
    <n v="436.8"/>
    <x v="62"/>
    <d v="2025-03-05T00:00:00"/>
    <s v="F"/>
    <x v="2"/>
    <x v="0"/>
    <s v="California"/>
    <s v="Alameda County"/>
    <x v="3"/>
    <x v="9"/>
    <x v="2"/>
  </r>
  <r>
    <s v="TX501677"/>
    <x v="10"/>
    <x v="13"/>
    <n v="34.9"/>
    <n v="209.39999999999998"/>
    <x v="62"/>
    <d v="2025-03-15T00:00:00"/>
    <s v="F"/>
    <x v="0"/>
    <x v="0"/>
    <s v="California"/>
    <s v="Alameda County"/>
    <x v="11"/>
    <x v="9"/>
    <x v="2"/>
  </r>
  <r>
    <s v="TX501678"/>
    <x v="6"/>
    <x v="1"/>
    <n v="53.9"/>
    <n v="107.8"/>
    <x v="62"/>
    <d v="2025-03-07T00:00:00"/>
    <s v="O"/>
    <x v="0"/>
    <x v="4"/>
    <s v="California"/>
    <s v="Contra Costa County"/>
    <x v="2"/>
    <x v="9"/>
    <x v="3"/>
  </r>
  <r>
    <s v="TX501679"/>
    <x v="2"/>
    <x v="1"/>
    <n v="87.2"/>
    <n v="174.4"/>
    <x v="62"/>
    <d v="2025-03-05T00:00:00"/>
    <s v="F"/>
    <x v="0"/>
    <x v="1"/>
    <s v="California"/>
    <s v="Contra Costa County"/>
    <x v="3"/>
    <x v="9"/>
    <x v="2"/>
  </r>
  <r>
    <s v="TX501680"/>
    <x v="15"/>
    <x v="0"/>
    <n v="58.8"/>
    <n v="58.8"/>
    <x v="62"/>
    <d v="2025-03-06T00:00:00"/>
    <s v="F"/>
    <x v="2"/>
    <x v="0"/>
    <s v="California"/>
    <s v="Humboldt County"/>
    <x v="1"/>
    <x v="9"/>
    <x v="2"/>
  </r>
  <r>
    <s v="TX501681"/>
    <x v="2"/>
    <x v="3"/>
    <n v="125.5"/>
    <n v="878.5"/>
    <x v="62"/>
    <d v="2025-03-05T00:00:00"/>
    <s v="M"/>
    <x v="2"/>
    <x v="4"/>
    <s v="California"/>
    <s v="Kern County"/>
    <x v="3"/>
    <x v="9"/>
    <x v="1"/>
  </r>
  <r>
    <s v="TX501682"/>
    <x v="1"/>
    <x v="12"/>
    <n v="124.6"/>
    <n v="498.4"/>
    <x v="62"/>
    <d v="2025-03-06T00:00:00"/>
    <s v="F"/>
    <x v="0"/>
    <x v="1"/>
    <s v="California"/>
    <s v="Kern County"/>
    <x v="1"/>
    <x v="9"/>
    <x v="2"/>
  </r>
  <r>
    <s v="TX501683"/>
    <x v="1"/>
    <x v="3"/>
    <n v="39.9"/>
    <n v="279.3"/>
    <x v="62"/>
    <d v="2025-03-05T00:00:00"/>
    <s v="M"/>
    <x v="2"/>
    <x v="1"/>
    <s v="California"/>
    <s v="Los Angeles County"/>
    <x v="3"/>
    <x v="9"/>
    <x v="1"/>
  </r>
  <r>
    <s v="TX501684"/>
    <x v="6"/>
    <x v="0"/>
    <n v="94.6"/>
    <n v="94.6"/>
    <x v="62"/>
    <d v="2025-03-18T00:00:00"/>
    <s v="F"/>
    <x v="0"/>
    <x v="1"/>
    <s v="California"/>
    <s v="Los Angeles County"/>
    <x v="12"/>
    <x v="9"/>
    <x v="2"/>
  </r>
  <r>
    <s v="TX501685"/>
    <x v="2"/>
    <x v="1"/>
    <n v="149.6"/>
    <n v="299.2"/>
    <x v="62"/>
    <d v="2025-03-05T00:00:00"/>
    <s v="F"/>
    <x v="0"/>
    <x v="0"/>
    <s v="California"/>
    <s v="Los Angeles County"/>
    <x v="3"/>
    <x v="9"/>
    <x v="2"/>
  </r>
  <r>
    <s v="TX501686"/>
    <x v="8"/>
    <x v="0"/>
    <n v="52.2"/>
    <n v="52.2"/>
    <x v="62"/>
    <d v="2025-03-05T00:00:00"/>
    <s v=""/>
    <x v="1"/>
    <x v="0"/>
    <s v="California"/>
    <s v="Los Angeles County"/>
    <x v="3"/>
    <x v="9"/>
    <x v="0"/>
  </r>
  <r>
    <s v="TX501687"/>
    <x v="6"/>
    <x v="1"/>
    <n v="96.5"/>
    <n v="193"/>
    <x v="62"/>
    <d v="2025-03-05T00:00:00"/>
    <s v="F"/>
    <x v="1"/>
    <x v="1"/>
    <s v="California"/>
    <s v="Los Angeles County"/>
    <x v="3"/>
    <x v="9"/>
    <x v="2"/>
  </r>
  <r>
    <s v="TX501688"/>
    <x v="8"/>
    <x v="1"/>
    <n v="79.8"/>
    <n v="159.6"/>
    <x v="62"/>
    <d v="2025-03-06T00:00:00"/>
    <s v="F"/>
    <x v="0"/>
    <x v="1"/>
    <s v="California"/>
    <s v="Los Angeles County"/>
    <x v="1"/>
    <x v="9"/>
    <x v="2"/>
  </r>
  <r>
    <s v="TX501689"/>
    <x v="8"/>
    <x v="2"/>
    <n v="35.6"/>
    <n v="106.80000000000001"/>
    <x v="62"/>
    <d v="2025-03-05T00:00:00"/>
    <s v="F"/>
    <x v="2"/>
    <x v="0"/>
    <s v="California"/>
    <s v="Los Angeles County"/>
    <x v="3"/>
    <x v="9"/>
    <x v="2"/>
  </r>
  <r>
    <s v="TX501690"/>
    <x v="16"/>
    <x v="0"/>
    <n v="50.2"/>
    <n v="50.2"/>
    <x v="62"/>
    <d v="2025-03-05T00:00:00"/>
    <s v="F"/>
    <x v="1"/>
    <x v="2"/>
    <s v="California"/>
    <s v="Los Angeles County"/>
    <x v="3"/>
    <x v="9"/>
    <x v="2"/>
  </r>
  <r>
    <s v="TX501691"/>
    <x v="1"/>
    <x v="2"/>
    <n v="55.3"/>
    <n v="165.89999999999998"/>
    <x v="62"/>
    <d v="2025-03-07T00:00:00"/>
    <s v="F"/>
    <x v="0"/>
    <x v="4"/>
    <s v="California"/>
    <s v="Mariposa County"/>
    <x v="2"/>
    <x v="9"/>
    <x v="2"/>
  </r>
  <r>
    <s v="TX501692"/>
    <x v="6"/>
    <x v="3"/>
    <n v="104.5"/>
    <n v="731.5"/>
    <x v="62"/>
    <d v="2025-03-08T00:00:00"/>
    <s v="F"/>
    <x v="1"/>
    <x v="0"/>
    <s v="California"/>
    <s v="San Bernardino County"/>
    <x v="5"/>
    <x v="9"/>
    <x v="2"/>
  </r>
  <r>
    <s v="TX501693"/>
    <x v="6"/>
    <x v="12"/>
    <n v="66.5"/>
    <n v="266"/>
    <x v="62"/>
    <d v="2025-03-06T00:00:00"/>
    <s v="M"/>
    <x v="1"/>
    <x v="0"/>
    <s v="California"/>
    <s v="San Bernardino County"/>
    <x v="1"/>
    <x v="9"/>
    <x v="1"/>
  </r>
  <r>
    <s v="TX501694"/>
    <x v="10"/>
    <x v="8"/>
    <n v="38.299999999999997"/>
    <n v="306.39999999999998"/>
    <x v="62"/>
    <d v="2025-03-05T00:00:00"/>
    <s v="F"/>
    <x v="0"/>
    <x v="0"/>
    <s v="California"/>
    <s v="San Bernardino County"/>
    <x v="3"/>
    <x v="9"/>
    <x v="2"/>
  </r>
  <r>
    <s v="TX501695"/>
    <x v="6"/>
    <x v="2"/>
    <n v="63.8"/>
    <n v="191.39999999999998"/>
    <x v="62"/>
    <d v="2025-03-07T00:00:00"/>
    <s v="F"/>
    <x v="1"/>
    <x v="0"/>
    <s v="California"/>
    <s v="San Diego County"/>
    <x v="2"/>
    <x v="9"/>
    <x v="2"/>
  </r>
  <r>
    <s v="TX501696"/>
    <x v="15"/>
    <x v="0"/>
    <n v="21.4"/>
    <n v="21.4"/>
    <x v="62"/>
    <d v="2025-03-04T00:00:00"/>
    <s v="M"/>
    <x v="4"/>
    <x v="0"/>
    <s v="California"/>
    <s v="San Diego County"/>
    <x v="7"/>
    <x v="9"/>
    <x v="1"/>
  </r>
  <r>
    <s v="TX501697"/>
    <x v="8"/>
    <x v="12"/>
    <n v="44.1"/>
    <n v="176.4"/>
    <x v="62"/>
    <d v="2025-03-06T00:00:00"/>
    <s v="F"/>
    <x v="2"/>
    <x v="0"/>
    <s v="California"/>
    <s v="San Diego County"/>
    <x v="1"/>
    <x v="9"/>
    <x v="2"/>
  </r>
  <r>
    <s v="TX501698"/>
    <x v="5"/>
    <x v="8"/>
    <n v="57.6"/>
    <n v="460.8"/>
    <x v="62"/>
    <d v="2025-03-06T00:00:00"/>
    <s v="M"/>
    <x v="1"/>
    <x v="2"/>
    <s v="California"/>
    <s v="San Diego County"/>
    <x v="1"/>
    <x v="9"/>
    <x v="1"/>
  </r>
  <r>
    <s v="TX501699"/>
    <x v="9"/>
    <x v="1"/>
    <n v="20.3"/>
    <n v="40.6"/>
    <x v="62"/>
    <d v="2025-03-10T00:00:00"/>
    <s v="F"/>
    <x v="3"/>
    <x v="0"/>
    <s v="California"/>
    <s v="San Diego County"/>
    <x v="4"/>
    <x v="9"/>
    <x v="2"/>
  </r>
  <r>
    <s v="TX501700"/>
    <x v="8"/>
    <x v="0"/>
    <n v="22.9"/>
    <n v="22.9"/>
    <x v="62"/>
    <d v="2025-03-06T00:00:00"/>
    <s v="F"/>
    <x v="2"/>
    <x v="2"/>
    <s v="California"/>
    <s v="San Diego County"/>
    <x v="1"/>
    <x v="9"/>
    <x v="2"/>
  </r>
  <r>
    <s v="TX501701"/>
    <x v="6"/>
    <x v="12"/>
    <n v="105.9"/>
    <n v="423.6"/>
    <x v="62"/>
    <d v="2025-03-05T00:00:00"/>
    <s v="F"/>
    <x v="1"/>
    <x v="2"/>
    <s v="California"/>
    <s v="San Francisco"/>
    <x v="3"/>
    <x v="9"/>
    <x v="2"/>
  </r>
  <r>
    <s v="TX501702"/>
    <x v="1"/>
    <x v="11"/>
    <n v="37.4"/>
    <n v="336.59999999999997"/>
    <x v="62"/>
    <d v="2025-03-08T00:00:00"/>
    <s v="M"/>
    <x v="1"/>
    <x v="0"/>
    <s v="California"/>
    <s v="Santa Clara County"/>
    <x v="5"/>
    <x v="9"/>
    <x v="1"/>
  </r>
  <r>
    <s v="TX501703"/>
    <x v="18"/>
    <x v="1"/>
    <n v="79"/>
    <n v="158"/>
    <x v="62"/>
    <d v="2025-03-05T00:00:00"/>
    <s v="M"/>
    <x v="2"/>
    <x v="0"/>
    <s v="California"/>
    <s v="Yolo County"/>
    <x v="3"/>
    <x v="9"/>
    <x v="1"/>
  </r>
  <r>
    <s v="TX501704"/>
    <x v="0"/>
    <x v="2"/>
    <n v="19.3"/>
    <n v="57.900000000000006"/>
    <x v="62"/>
    <d v="2025-03-05T00:00:00"/>
    <s v="F"/>
    <x v="4"/>
    <x v="0"/>
    <s v="California"/>
    <s v="Alameda County"/>
    <x v="3"/>
    <x v="9"/>
    <x v="2"/>
  </r>
  <r>
    <s v="TX501705"/>
    <x v="0"/>
    <x v="0"/>
    <n v="24"/>
    <n v="24"/>
    <x v="62"/>
    <d v="2025-03-05T00:00:00"/>
    <s v="F"/>
    <x v="1"/>
    <x v="0"/>
    <s v="California"/>
    <s v="Contra Costa County"/>
    <x v="3"/>
    <x v="9"/>
    <x v="2"/>
  </r>
  <r>
    <s v="TX501706"/>
    <x v="6"/>
    <x v="9"/>
    <n v="71.3"/>
    <n v="356.5"/>
    <x v="62"/>
    <d v="2025-03-07T00:00:00"/>
    <s v="F"/>
    <x v="2"/>
    <x v="0"/>
    <s v="California"/>
    <s v="Fresno County"/>
    <x v="2"/>
    <x v="9"/>
    <x v="2"/>
  </r>
  <r>
    <s v="TX501707"/>
    <x v="5"/>
    <x v="1"/>
    <n v="166.2"/>
    <n v="332.4"/>
    <x v="62"/>
    <d v="2025-03-05T00:00:00"/>
    <s v="M"/>
    <x v="0"/>
    <x v="2"/>
    <s v="California"/>
    <s v="Lake County"/>
    <x v="3"/>
    <x v="9"/>
    <x v="1"/>
  </r>
  <r>
    <s v="TX501708"/>
    <x v="6"/>
    <x v="0"/>
    <n v="81"/>
    <n v="81"/>
    <x v="62"/>
    <d v="2025-03-05T00:00:00"/>
    <s v="F"/>
    <x v="2"/>
    <x v="1"/>
    <s v="California"/>
    <s v="Los Angeles County"/>
    <x v="3"/>
    <x v="9"/>
    <x v="2"/>
  </r>
  <r>
    <s v="TX501709"/>
    <x v="10"/>
    <x v="13"/>
    <n v="38.5"/>
    <n v="231"/>
    <x v="62"/>
    <d v="2025-03-08T00:00:00"/>
    <s v="F"/>
    <x v="0"/>
    <x v="0"/>
    <s v="California"/>
    <s v="Los Angeles County"/>
    <x v="5"/>
    <x v="9"/>
    <x v="2"/>
  </r>
  <r>
    <s v="TX501710"/>
    <x v="6"/>
    <x v="0"/>
    <n v="86.1"/>
    <n v="86.1"/>
    <x v="62"/>
    <d v="2025-03-06T00:00:00"/>
    <s v="F"/>
    <x v="3"/>
    <x v="0"/>
    <s v="California"/>
    <s v="Los Angeles County"/>
    <x v="1"/>
    <x v="9"/>
    <x v="2"/>
  </r>
  <r>
    <s v="TX501711"/>
    <x v="2"/>
    <x v="9"/>
    <n v="51"/>
    <n v="255"/>
    <x v="62"/>
    <d v="2025-03-05T00:00:00"/>
    <s v="M"/>
    <x v="0"/>
    <x v="1"/>
    <s v="California"/>
    <s v="Los Angeles County"/>
    <x v="3"/>
    <x v="9"/>
    <x v="1"/>
  </r>
  <r>
    <s v="TX501712"/>
    <x v="3"/>
    <x v="9"/>
    <n v="115.4"/>
    <n v="577"/>
    <x v="62"/>
    <d v="2025-03-05T00:00:00"/>
    <s v="M"/>
    <x v="0"/>
    <x v="0"/>
    <s v="California"/>
    <s v="Los Angeles County"/>
    <x v="3"/>
    <x v="9"/>
    <x v="1"/>
  </r>
  <r>
    <s v="TX501713"/>
    <x v="6"/>
    <x v="12"/>
    <n v="176.5"/>
    <n v="706"/>
    <x v="62"/>
    <d v="2025-03-05T00:00:00"/>
    <s v="F"/>
    <x v="2"/>
    <x v="2"/>
    <s v="California"/>
    <s v="Los Angeles County"/>
    <x v="3"/>
    <x v="9"/>
    <x v="2"/>
  </r>
  <r>
    <s v="TX501714"/>
    <x v="7"/>
    <x v="2"/>
    <n v="48.9"/>
    <n v="146.69999999999999"/>
    <x v="62"/>
    <d v="2025-03-05T00:00:00"/>
    <s v="M"/>
    <x v="4"/>
    <x v="0"/>
    <s v="California"/>
    <s v="Los Angeles County"/>
    <x v="3"/>
    <x v="9"/>
    <x v="1"/>
  </r>
  <r>
    <s v="TX501715"/>
    <x v="8"/>
    <x v="2"/>
    <n v="18.100000000000001"/>
    <n v="54.300000000000004"/>
    <x v="62"/>
    <d v="2025-03-11T00:00:00"/>
    <s v="F"/>
    <x v="1"/>
    <x v="2"/>
    <s v="California"/>
    <s v="Mendocino County"/>
    <x v="6"/>
    <x v="9"/>
    <x v="2"/>
  </r>
  <r>
    <s v="TX501716"/>
    <x v="2"/>
    <x v="1"/>
    <n v="118.5"/>
    <n v="237"/>
    <x v="62"/>
    <d v="2025-03-07T00:00:00"/>
    <s v="M"/>
    <x v="1"/>
    <x v="2"/>
    <s v="California"/>
    <s v="Napa County"/>
    <x v="2"/>
    <x v="9"/>
    <x v="1"/>
  </r>
  <r>
    <s v="TX501717"/>
    <x v="15"/>
    <x v="3"/>
    <n v="59.1"/>
    <n v="413.7"/>
    <x v="62"/>
    <d v="2025-03-05T00:00:00"/>
    <s v="F"/>
    <x v="3"/>
    <x v="0"/>
    <s v="California"/>
    <s v="Orange County"/>
    <x v="3"/>
    <x v="9"/>
    <x v="2"/>
  </r>
  <r>
    <s v="TX501718"/>
    <x v="4"/>
    <x v="0"/>
    <n v="21.2"/>
    <n v="21.2"/>
    <x v="62"/>
    <d v="2025-03-05T00:00:00"/>
    <s v="F"/>
    <x v="0"/>
    <x v="1"/>
    <s v="California"/>
    <s v="Sacramento County"/>
    <x v="3"/>
    <x v="9"/>
    <x v="2"/>
  </r>
  <r>
    <s v="TX501719"/>
    <x v="6"/>
    <x v="1"/>
    <n v="68.8"/>
    <n v="137.6"/>
    <x v="62"/>
    <d v="2025-03-09T00:00:00"/>
    <s v="F"/>
    <x v="3"/>
    <x v="2"/>
    <s v="California"/>
    <s v="Sacramento County"/>
    <x v="0"/>
    <x v="9"/>
    <x v="2"/>
  </r>
  <r>
    <s v="TX501720"/>
    <x v="6"/>
    <x v="1"/>
    <n v="65.400000000000006"/>
    <n v="130.80000000000001"/>
    <x v="62"/>
    <d v="2025-03-08T00:00:00"/>
    <s v="F"/>
    <x v="0"/>
    <x v="0"/>
    <s v="California"/>
    <s v="Sacramento County"/>
    <x v="5"/>
    <x v="9"/>
    <x v="2"/>
  </r>
  <r>
    <s v="TX501721"/>
    <x v="12"/>
    <x v="9"/>
    <n v="66.3"/>
    <n v="331.5"/>
    <x v="63"/>
    <d v="2025-03-08T00:00:00"/>
    <s v="F"/>
    <x v="4"/>
    <x v="0"/>
    <s v="California"/>
    <s v="Sacramento County"/>
    <x v="2"/>
    <x v="9"/>
    <x v="2"/>
  </r>
  <r>
    <s v="TX501722"/>
    <x v="6"/>
    <x v="2"/>
    <n v="97.5"/>
    <n v="292.5"/>
    <x v="63"/>
    <d v="2025-03-05T00:00:00"/>
    <s v="M"/>
    <x v="3"/>
    <x v="0"/>
    <s v="California"/>
    <s v="San Diego County"/>
    <x v="7"/>
    <x v="9"/>
    <x v="1"/>
  </r>
  <r>
    <s v="TX501723"/>
    <x v="1"/>
    <x v="1"/>
    <n v="44"/>
    <n v="88"/>
    <x v="63"/>
    <d v="2025-03-08T00:00:00"/>
    <s v="F"/>
    <x v="1"/>
    <x v="2"/>
    <s v="California"/>
    <s v="San Diego County"/>
    <x v="2"/>
    <x v="9"/>
    <x v="2"/>
  </r>
  <r>
    <s v="TX501724"/>
    <x v="0"/>
    <x v="0"/>
    <n v="21.9"/>
    <n v="21.9"/>
    <x v="63"/>
    <d v="2025-03-06T00:00:00"/>
    <s v="M"/>
    <x v="0"/>
    <x v="0"/>
    <s v="California"/>
    <s v="San Diego County"/>
    <x v="3"/>
    <x v="9"/>
    <x v="1"/>
  </r>
  <r>
    <s v="TX501725"/>
    <x v="4"/>
    <x v="3"/>
    <n v="21.5"/>
    <n v="150.5"/>
    <x v="63"/>
    <d v="2025-03-07T00:00:00"/>
    <s v="F"/>
    <x v="1"/>
    <x v="2"/>
    <s v="California"/>
    <s v="San Mateo County"/>
    <x v="1"/>
    <x v="9"/>
    <x v="2"/>
  </r>
  <r>
    <s v="TX501726"/>
    <x v="12"/>
    <x v="13"/>
    <n v="133"/>
    <n v="798"/>
    <x v="63"/>
    <d v="2025-03-06T00:00:00"/>
    <s v="O"/>
    <x v="0"/>
    <x v="2"/>
    <s v="California"/>
    <s v="Santa Barbara County"/>
    <x v="3"/>
    <x v="9"/>
    <x v="3"/>
  </r>
  <r>
    <s v="TX501727"/>
    <x v="8"/>
    <x v="1"/>
    <n v="47.7"/>
    <n v="95.4"/>
    <x v="63"/>
    <d v="2025-03-09T00:00:00"/>
    <s v="M"/>
    <x v="0"/>
    <x v="2"/>
    <s v="California"/>
    <s v="Santa Barbara County"/>
    <x v="5"/>
    <x v="9"/>
    <x v="1"/>
  </r>
  <r>
    <s v="TX501728"/>
    <x v="16"/>
    <x v="2"/>
    <n v="58.1"/>
    <n v="174.3"/>
    <x v="63"/>
    <d v="2025-03-06T00:00:00"/>
    <s v="F"/>
    <x v="0"/>
    <x v="0"/>
    <s v="California"/>
    <s v="Santa Clara County"/>
    <x v="3"/>
    <x v="9"/>
    <x v="2"/>
  </r>
  <r>
    <s v="TX501729"/>
    <x v="12"/>
    <x v="12"/>
    <n v="66.599999999999994"/>
    <n v="266.39999999999998"/>
    <x v="63"/>
    <d v="2025-03-06T00:00:00"/>
    <s v=""/>
    <x v="0"/>
    <x v="0"/>
    <s v="California"/>
    <s v="Santa Clara County"/>
    <x v="3"/>
    <x v="9"/>
    <x v="0"/>
  </r>
  <r>
    <s v="TX501730"/>
    <x v="9"/>
    <x v="0"/>
    <n v="24.1"/>
    <n v="24.1"/>
    <x v="63"/>
    <d v="2025-03-08T00:00:00"/>
    <s v="M"/>
    <x v="2"/>
    <x v="1"/>
    <s v="California"/>
    <s v="Stanislaus County"/>
    <x v="2"/>
    <x v="9"/>
    <x v="1"/>
  </r>
  <r>
    <s v="TX501731"/>
    <x v="10"/>
    <x v="9"/>
    <n v="51.5"/>
    <n v="257.5"/>
    <x v="63"/>
    <d v="2025-03-10T00:00:00"/>
    <s v="F"/>
    <x v="0"/>
    <x v="0"/>
    <s v="California"/>
    <s v="Ventura County"/>
    <x v="0"/>
    <x v="9"/>
    <x v="2"/>
  </r>
  <r>
    <s v="TX501732"/>
    <x v="0"/>
    <x v="5"/>
    <n v="25.8"/>
    <n v="283.8"/>
    <x v="63"/>
    <d v="2025-03-09T00:00:00"/>
    <s v="F"/>
    <x v="3"/>
    <x v="4"/>
    <s v="California"/>
    <s v="Alameda County"/>
    <x v="5"/>
    <x v="9"/>
    <x v="2"/>
  </r>
  <r>
    <s v="TX501733"/>
    <x v="9"/>
    <x v="12"/>
    <n v="47.7"/>
    <n v="190.8"/>
    <x v="63"/>
    <d v="2025-03-05T00:00:00"/>
    <s v="F"/>
    <x v="0"/>
    <x v="1"/>
    <s v="California"/>
    <s v="Alameda County"/>
    <x v="7"/>
    <x v="9"/>
    <x v="2"/>
  </r>
  <r>
    <s v="TX501734"/>
    <x v="7"/>
    <x v="9"/>
    <n v="73.599999999999994"/>
    <n v="368"/>
    <x v="63"/>
    <d v="2025-03-09T00:00:00"/>
    <s v="M"/>
    <x v="1"/>
    <x v="0"/>
    <s v="California"/>
    <s v="Alameda County"/>
    <x v="5"/>
    <x v="9"/>
    <x v="1"/>
  </r>
  <r>
    <s v="TX501735"/>
    <x v="5"/>
    <x v="3"/>
    <n v="91.2"/>
    <n v="638.4"/>
    <x v="63"/>
    <d v="2025-03-06T00:00:00"/>
    <s v="M"/>
    <x v="1"/>
    <x v="2"/>
    <s v="California"/>
    <s v="Alameda County"/>
    <x v="3"/>
    <x v="9"/>
    <x v="1"/>
  </r>
  <r>
    <s v="TX501736"/>
    <x v="1"/>
    <x v="8"/>
    <n v="36.200000000000003"/>
    <n v="289.60000000000002"/>
    <x v="63"/>
    <d v="2025-03-05T00:00:00"/>
    <s v="M"/>
    <x v="2"/>
    <x v="2"/>
    <s v="California"/>
    <s v="Contra Costa County"/>
    <x v="7"/>
    <x v="9"/>
    <x v="1"/>
  </r>
  <r>
    <s v="TX501737"/>
    <x v="9"/>
    <x v="8"/>
    <n v="98"/>
    <n v="784"/>
    <x v="63"/>
    <d v="2025-03-09T00:00:00"/>
    <s v="F"/>
    <x v="2"/>
    <x v="0"/>
    <s v="California"/>
    <s v="Fresno County"/>
    <x v="5"/>
    <x v="9"/>
    <x v="2"/>
  </r>
  <r>
    <s v="TX501738"/>
    <x v="1"/>
    <x v="8"/>
    <n v="43.6"/>
    <n v="348.8"/>
    <x v="63"/>
    <d v="2025-03-06T00:00:00"/>
    <s v="F"/>
    <x v="2"/>
    <x v="0"/>
    <s v="California"/>
    <s v="Kern County"/>
    <x v="3"/>
    <x v="9"/>
    <x v="2"/>
  </r>
  <r>
    <s v="TX501739"/>
    <x v="8"/>
    <x v="7"/>
    <n v="37.799999999999997"/>
    <n v="378"/>
    <x v="63"/>
    <d v="2025-03-05T00:00:00"/>
    <s v="O"/>
    <x v="0"/>
    <x v="0"/>
    <s v="California"/>
    <s v="Lake County"/>
    <x v="7"/>
    <x v="9"/>
    <x v="3"/>
  </r>
  <r>
    <s v="TX501740"/>
    <x v="17"/>
    <x v="9"/>
    <n v="63.7"/>
    <n v="318.5"/>
    <x v="63"/>
    <d v="2025-03-08T00:00:00"/>
    <s v="F"/>
    <x v="2"/>
    <x v="1"/>
    <s v="California"/>
    <s v="Los Angeles County"/>
    <x v="2"/>
    <x v="9"/>
    <x v="2"/>
  </r>
  <r>
    <s v="TX501741"/>
    <x v="5"/>
    <x v="11"/>
    <n v="62.9"/>
    <n v="566.1"/>
    <x v="63"/>
    <d v="2025-03-10T00:00:00"/>
    <s v="M"/>
    <x v="3"/>
    <x v="2"/>
    <s v="California"/>
    <s v="Los Angeles County"/>
    <x v="0"/>
    <x v="9"/>
    <x v="1"/>
  </r>
  <r>
    <s v="TX501742"/>
    <x v="6"/>
    <x v="3"/>
    <n v="61.7"/>
    <n v="431.90000000000003"/>
    <x v="63"/>
    <d v="2025-03-08T00:00:00"/>
    <s v="F"/>
    <x v="2"/>
    <x v="2"/>
    <s v="California"/>
    <s v="Los Angeles County"/>
    <x v="2"/>
    <x v="9"/>
    <x v="2"/>
  </r>
  <r>
    <s v="TX501743"/>
    <x v="18"/>
    <x v="21"/>
    <n v="36.5"/>
    <n v="511"/>
    <x v="63"/>
    <d v="2025-03-06T00:00:00"/>
    <s v="M"/>
    <x v="0"/>
    <x v="2"/>
    <s v="California"/>
    <s v="Los Angeles County"/>
    <x v="3"/>
    <x v="9"/>
    <x v="1"/>
  </r>
  <r>
    <s v="TX501744"/>
    <x v="11"/>
    <x v="2"/>
    <n v="98.6"/>
    <n v="295.79999999999995"/>
    <x v="63"/>
    <d v="2025-03-08T00:00:00"/>
    <s v="O"/>
    <x v="0"/>
    <x v="4"/>
    <s v="California"/>
    <s v="Los Angeles County"/>
    <x v="2"/>
    <x v="9"/>
    <x v="3"/>
  </r>
  <r>
    <s v="TX501745"/>
    <x v="8"/>
    <x v="1"/>
    <n v="19.2"/>
    <n v="38.4"/>
    <x v="63"/>
    <d v="2025-03-15T00:00:00"/>
    <s v="M"/>
    <x v="0"/>
    <x v="0"/>
    <s v="California"/>
    <s v="Los Angeles County"/>
    <x v="14"/>
    <x v="9"/>
    <x v="1"/>
  </r>
  <r>
    <s v="TX501746"/>
    <x v="3"/>
    <x v="13"/>
    <n v="55.6"/>
    <n v="333.6"/>
    <x v="63"/>
    <d v="2025-03-09T00:00:00"/>
    <s v="F"/>
    <x v="0"/>
    <x v="2"/>
    <s v="California"/>
    <s v="Los Angeles County"/>
    <x v="5"/>
    <x v="9"/>
    <x v="2"/>
  </r>
  <r>
    <s v="TX501747"/>
    <x v="5"/>
    <x v="13"/>
    <n v="56.4"/>
    <n v="338.4"/>
    <x v="63"/>
    <d v="2025-03-06T00:00:00"/>
    <s v="F"/>
    <x v="1"/>
    <x v="0"/>
    <s v="California"/>
    <s v="Los Angeles County"/>
    <x v="3"/>
    <x v="9"/>
    <x v="2"/>
  </r>
  <r>
    <s v="TX501748"/>
    <x v="4"/>
    <x v="8"/>
    <n v="43.1"/>
    <n v="344.8"/>
    <x v="63"/>
    <d v="2025-03-09T00:00:00"/>
    <s v="F"/>
    <x v="4"/>
    <x v="0"/>
    <s v="California"/>
    <s v="Los Angeles County"/>
    <x v="5"/>
    <x v="9"/>
    <x v="2"/>
  </r>
  <r>
    <s v="TX501749"/>
    <x v="1"/>
    <x v="1"/>
    <n v="77.3"/>
    <n v="154.6"/>
    <x v="63"/>
    <d v="2025-03-07T00:00:00"/>
    <s v="M"/>
    <x v="0"/>
    <x v="0"/>
    <s v="California"/>
    <s v="Sacramento County"/>
    <x v="1"/>
    <x v="9"/>
    <x v="1"/>
  </r>
  <r>
    <s v="TX501750"/>
    <x v="9"/>
    <x v="8"/>
    <n v="38.299999999999997"/>
    <n v="306.39999999999998"/>
    <x v="63"/>
    <d v="2025-03-06T00:00:00"/>
    <s v="M"/>
    <x v="0"/>
    <x v="0"/>
    <s v="California"/>
    <s v="San Bernardino County"/>
    <x v="3"/>
    <x v="9"/>
    <x v="1"/>
  </r>
  <r>
    <s v="TX501751"/>
    <x v="0"/>
    <x v="3"/>
    <n v="16.8"/>
    <n v="117.60000000000001"/>
    <x v="63"/>
    <d v="2025-03-08T00:00:00"/>
    <s v="M"/>
    <x v="2"/>
    <x v="1"/>
    <s v="California"/>
    <s v="San Diego County"/>
    <x v="2"/>
    <x v="9"/>
    <x v="1"/>
  </r>
  <r>
    <s v="TX501752"/>
    <x v="2"/>
    <x v="2"/>
    <n v="63.2"/>
    <n v="189.60000000000002"/>
    <x v="63"/>
    <d v="2025-03-06T00:00:00"/>
    <s v="F"/>
    <x v="0"/>
    <x v="2"/>
    <s v="California"/>
    <s v="San Diego County"/>
    <x v="3"/>
    <x v="9"/>
    <x v="2"/>
  </r>
  <r>
    <s v="TX501753"/>
    <x v="14"/>
    <x v="44"/>
    <n v="39.700000000000003"/>
    <n v="913.1"/>
    <x v="63"/>
    <d v="2025-03-06T00:00:00"/>
    <s v="M"/>
    <x v="0"/>
    <x v="0"/>
    <s v="California"/>
    <s v="San Diego County"/>
    <x v="3"/>
    <x v="9"/>
    <x v="1"/>
  </r>
  <r>
    <s v="TX501754"/>
    <x v="10"/>
    <x v="2"/>
    <n v="45.8"/>
    <n v="137.39999999999998"/>
    <x v="63"/>
    <d v="2025-03-06T00:00:00"/>
    <s v="F"/>
    <x v="1"/>
    <x v="2"/>
    <s v="California"/>
    <s v="San Diego County"/>
    <x v="3"/>
    <x v="9"/>
    <x v="2"/>
  </r>
  <r>
    <s v="TX501755"/>
    <x v="0"/>
    <x v="13"/>
    <n v="12.4"/>
    <n v="74.400000000000006"/>
    <x v="63"/>
    <d v="2025-03-08T00:00:00"/>
    <s v="M"/>
    <x v="0"/>
    <x v="0"/>
    <s v="California"/>
    <s v="San Diego County"/>
    <x v="2"/>
    <x v="9"/>
    <x v="1"/>
  </r>
  <r>
    <s v="TX501756"/>
    <x v="14"/>
    <x v="2"/>
    <n v="50.8"/>
    <n v="152.39999999999998"/>
    <x v="64"/>
    <d v="2025-03-06T00:00:00"/>
    <s v="F"/>
    <x v="4"/>
    <x v="0"/>
    <s v="California"/>
    <s v="San Francisco"/>
    <x v="7"/>
    <x v="9"/>
    <x v="2"/>
  </r>
  <r>
    <s v="TX501757"/>
    <x v="9"/>
    <x v="0"/>
    <n v="76"/>
    <n v="76"/>
    <x v="64"/>
    <d v="2025-03-10T00:00:00"/>
    <s v="O"/>
    <x v="2"/>
    <x v="2"/>
    <s v="California"/>
    <s v="San Francisco"/>
    <x v="5"/>
    <x v="9"/>
    <x v="3"/>
  </r>
  <r>
    <s v="TX501758"/>
    <x v="1"/>
    <x v="1"/>
    <n v="51.9"/>
    <n v="103.8"/>
    <x v="64"/>
    <d v="2025-03-07T00:00:00"/>
    <s v="M"/>
    <x v="1"/>
    <x v="2"/>
    <s v="California"/>
    <s v="San Joaquin County"/>
    <x v="3"/>
    <x v="9"/>
    <x v="1"/>
  </r>
  <r>
    <s v="TX501759"/>
    <x v="2"/>
    <x v="1"/>
    <n v="93.4"/>
    <n v="186.8"/>
    <x v="64"/>
    <d v="2025-03-13T00:00:00"/>
    <s v="M"/>
    <x v="0"/>
    <x v="3"/>
    <s v="California"/>
    <s v="Santa Clara County"/>
    <x v="6"/>
    <x v="9"/>
    <x v="1"/>
  </r>
  <r>
    <s v="TX501760"/>
    <x v="7"/>
    <x v="13"/>
    <n v="30.8"/>
    <n v="184.8"/>
    <x v="64"/>
    <d v="2025-03-09T00:00:00"/>
    <s v="F"/>
    <x v="1"/>
    <x v="0"/>
    <s v="California"/>
    <s v="Santa Clara County"/>
    <x v="2"/>
    <x v="9"/>
    <x v="2"/>
  </r>
  <r>
    <s v="TX501761"/>
    <x v="2"/>
    <x v="0"/>
    <n v="143.19999999999999"/>
    <n v="143.19999999999999"/>
    <x v="64"/>
    <d v="2025-03-09T00:00:00"/>
    <s v="M"/>
    <x v="2"/>
    <x v="0"/>
    <s v="California"/>
    <s v="Santa Clara County"/>
    <x v="2"/>
    <x v="9"/>
    <x v="1"/>
  </r>
  <r>
    <s v="TX501762"/>
    <x v="6"/>
    <x v="5"/>
    <n v="40.4"/>
    <n v="444.4"/>
    <x v="64"/>
    <d v="2025-03-08T00:00:00"/>
    <s v="M"/>
    <x v="2"/>
    <x v="2"/>
    <s v="California"/>
    <s v="Sonoma County"/>
    <x v="1"/>
    <x v="9"/>
    <x v="1"/>
  </r>
  <r>
    <s v="TX501763"/>
    <x v="2"/>
    <x v="10"/>
    <n v="131.5"/>
    <n v="2498.5"/>
    <x v="64"/>
    <d v="2025-03-08T00:00:00"/>
    <s v="M"/>
    <x v="1"/>
    <x v="1"/>
    <s v="California"/>
    <s v="Sonoma County"/>
    <x v="1"/>
    <x v="9"/>
    <x v="1"/>
  </r>
  <r>
    <s v="TX501764"/>
    <x v="18"/>
    <x v="3"/>
    <n v="61.6"/>
    <n v="431.2"/>
    <x v="64"/>
    <d v="2025-03-07T00:00:00"/>
    <s v="M"/>
    <x v="2"/>
    <x v="0"/>
    <s v="California"/>
    <s v="Alameda County"/>
    <x v="3"/>
    <x v="9"/>
    <x v="1"/>
  </r>
  <r>
    <s v="TX501765"/>
    <x v="9"/>
    <x v="9"/>
    <n v="32.700000000000003"/>
    <n v="163.5"/>
    <x v="64"/>
    <d v="2025-03-08T00:00:00"/>
    <s v="M"/>
    <x v="2"/>
    <x v="0"/>
    <s v="California"/>
    <s v="Contra Costa County"/>
    <x v="1"/>
    <x v="9"/>
    <x v="1"/>
  </r>
  <r>
    <s v="TX501766"/>
    <x v="0"/>
    <x v="7"/>
    <n v="13.7"/>
    <n v="137"/>
    <x v="64"/>
    <d v="2025-03-07T00:00:00"/>
    <s v="M"/>
    <x v="0"/>
    <x v="2"/>
    <s v="California"/>
    <s v="Los Angeles County"/>
    <x v="3"/>
    <x v="9"/>
    <x v="1"/>
  </r>
  <r>
    <s v="TX501767"/>
    <x v="0"/>
    <x v="12"/>
    <n v="32.1"/>
    <n v="128.4"/>
    <x v="64"/>
    <d v="2025-03-07T00:00:00"/>
    <s v="M"/>
    <x v="4"/>
    <x v="1"/>
    <s v="California"/>
    <s v="Los Angeles County"/>
    <x v="3"/>
    <x v="9"/>
    <x v="1"/>
  </r>
  <r>
    <s v="TX501768"/>
    <x v="14"/>
    <x v="8"/>
    <n v="12"/>
    <n v="96"/>
    <x v="64"/>
    <d v="2025-03-07T00:00:00"/>
    <s v="M"/>
    <x v="1"/>
    <x v="0"/>
    <s v="California"/>
    <s v="Merced County"/>
    <x v="3"/>
    <x v="9"/>
    <x v="1"/>
  </r>
  <r>
    <s v="TX501769"/>
    <x v="12"/>
    <x v="0"/>
    <n v="64.3"/>
    <n v="64.3"/>
    <x v="64"/>
    <d v="2025-03-08T00:00:00"/>
    <s v="F"/>
    <x v="2"/>
    <x v="2"/>
    <s v="California"/>
    <s v="Sacramento County"/>
    <x v="1"/>
    <x v="9"/>
    <x v="2"/>
  </r>
  <r>
    <s v="TX501770"/>
    <x v="1"/>
    <x v="2"/>
    <n v="58.2"/>
    <n v="174.60000000000002"/>
    <x v="64"/>
    <d v="2025-03-08T00:00:00"/>
    <s v="F"/>
    <x v="1"/>
    <x v="2"/>
    <s v="California"/>
    <s v="Sacramento County"/>
    <x v="1"/>
    <x v="9"/>
    <x v="2"/>
  </r>
  <r>
    <s v="TX501771"/>
    <x v="6"/>
    <x v="12"/>
    <n v="59.2"/>
    <n v="236.8"/>
    <x v="64"/>
    <d v="2025-03-06T00:00:00"/>
    <s v="M"/>
    <x v="1"/>
    <x v="2"/>
    <s v="California"/>
    <s v="Sacramento County"/>
    <x v="7"/>
    <x v="9"/>
    <x v="1"/>
  </r>
  <r>
    <s v="TX501772"/>
    <x v="10"/>
    <x v="5"/>
    <n v="35.6"/>
    <n v="391.6"/>
    <x v="64"/>
    <d v="2025-03-13T00:00:00"/>
    <s v="M"/>
    <x v="0"/>
    <x v="2"/>
    <s v="California"/>
    <s v="San Diego County"/>
    <x v="6"/>
    <x v="9"/>
    <x v="1"/>
  </r>
  <r>
    <s v="TX501773"/>
    <x v="16"/>
    <x v="8"/>
    <n v="37"/>
    <n v="296"/>
    <x v="64"/>
    <d v="2025-03-10T00:00:00"/>
    <s v="F"/>
    <x v="2"/>
    <x v="1"/>
    <s v="California"/>
    <s v="San Diego County"/>
    <x v="5"/>
    <x v="9"/>
    <x v="2"/>
  </r>
  <r>
    <s v="TX501774"/>
    <x v="1"/>
    <x v="15"/>
    <n v="80.8"/>
    <n v="1050.3999999999999"/>
    <x v="64"/>
    <d v="2025-03-08T00:00:00"/>
    <s v="F"/>
    <x v="0"/>
    <x v="0"/>
    <s v="California"/>
    <s v="San Diego County"/>
    <x v="1"/>
    <x v="9"/>
    <x v="2"/>
  </r>
  <r>
    <s v="TX501775"/>
    <x v="8"/>
    <x v="1"/>
    <n v="63.2"/>
    <n v="126.4"/>
    <x v="64"/>
    <d v="2025-03-07T00:00:00"/>
    <s v="M"/>
    <x v="0"/>
    <x v="1"/>
    <s v="California"/>
    <s v="San Diego County"/>
    <x v="3"/>
    <x v="9"/>
    <x v="1"/>
  </r>
  <r>
    <s v="TX501776"/>
    <x v="3"/>
    <x v="1"/>
    <n v="40.799999999999997"/>
    <n v="81.599999999999994"/>
    <x v="64"/>
    <d v="2025-03-08T00:00:00"/>
    <s v="M"/>
    <x v="0"/>
    <x v="1"/>
    <s v="California"/>
    <s v="San Francisco"/>
    <x v="1"/>
    <x v="9"/>
    <x v="1"/>
  </r>
  <r>
    <s v="TX501777"/>
    <x v="13"/>
    <x v="13"/>
    <n v="25.7"/>
    <n v="154.19999999999999"/>
    <x v="64"/>
    <d v="2025-03-08T00:00:00"/>
    <s v="M"/>
    <x v="4"/>
    <x v="0"/>
    <s v="California"/>
    <s v="Sonoma County"/>
    <x v="1"/>
    <x v="9"/>
    <x v="1"/>
  </r>
  <r>
    <s v="TX501778"/>
    <x v="16"/>
    <x v="1"/>
    <n v="49.9"/>
    <n v="99.8"/>
    <x v="64"/>
    <d v="2025-03-09T00:00:00"/>
    <s v="M"/>
    <x v="0"/>
    <x v="0"/>
    <s v="California"/>
    <s v="Tulare County"/>
    <x v="2"/>
    <x v="9"/>
    <x v="1"/>
  </r>
  <r>
    <s v="TX501779"/>
    <x v="8"/>
    <x v="1"/>
    <n v="20.2"/>
    <n v="40.4"/>
    <x v="64"/>
    <d v="2025-03-08T00:00:00"/>
    <s v="F"/>
    <x v="3"/>
    <x v="0"/>
    <s v="California"/>
    <s v="Alameda County"/>
    <x v="1"/>
    <x v="9"/>
    <x v="2"/>
  </r>
  <r>
    <s v="TX501780"/>
    <x v="6"/>
    <x v="2"/>
    <n v="48.4"/>
    <n v="145.19999999999999"/>
    <x v="64"/>
    <d v="2025-03-11T00:00:00"/>
    <s v="F"/>
    <x v="0"/>
    <x v="2"/>
    <s v="California"/>
    <s v="Alameda County"/>
    <x v="0"/>
    <x v="9"/>
    <x v="2"/>
  </r>
  <r>
    <s v="TX501781"/>
    <x v="6"/>
    <x v="1"/>
    <n v="81"/>
    <n v="162"/>
    <x v="64"/>
    <d v="2025-03-07T00:00:00"/>
    <s v="F"/>
    <x v="1"/>
    <x v="2"/>
    <s v="California"/>
    <s v="Alameda County"/>
    <x v="3"/>
    <x v="9"/>
    <x v="2"/>
  </r>
  <r>
    <s v="TX501782"/>
    <x v="8"/>
    <x v="13"/>
    <n v="19.899999999999999"/>
    <n v="119.39999999999999"/>
    <x v="64"/>
    <d v="2025-03-09T00:00:00"/>
    <s v="F"/>
    <x v="0"/>
    <x v="1"/>
    <s v="California"/>
    <s v="Kern County"/>
    <x v="2"/>
    <x v="9"/>
    <x v="2"/>
  </r>
  <r>
    <s v="TX501783"/>
    <x v="4"/>
    <x v="12"/>
    <n v="32.200000000000003"/>
    <n v="128.80000000000001"/>
    <x v="64"/>
    <d v="2025-03-16T00:00:00"/>
    <s v="M"/>
    <x v="0"/>
    <x v="0"/>
    <s v="California"/>
    <s v="Kern County"/>
    <x v="14"/>
    <x v="9"/>
    <x v="1"/>
  </r>
  <r>
    <s v="TX501784"/>
    <x v="5"/>
    <x v="2"/>
    <n v="76.8"/>
    <n v="230.39999999999998"/>
    <x v="64"/>
    <d v="2025-03-07T00:00:00"/>
    <s v="F"/>
    <x v="0"/>
    <x v="1"/>
    <s v="California"/>
    <s v="Los Angeles County"/>
    <x v="3"/>
    <x v="9"/>
    <x v="2"/>
  </r>
  <r>
    <s v="TX501785"/>
    <x v="6"/>
    <x v="1"/>
    <n v="41.9"/>
    <n v="83.8"/>
    <x v="64"/>
    <d v="2025-03-08T00:00:00"/>
    <s v="F"/>
    <x v="0"/>
    <x v="0"/>
    <s v="California"/>
    <s v="Los Angeles County"/>
    <x v="1"/>
    <x v="9"/>
    <x v="2"/>
  </r>
  <r>
    <s v="TX501786"/>
    <x v="0"/>
    <x v="3"/>
    <n v="34"/>
    <n v="238"/>
    <x v="64"/>
    <d v="2025-03-08T00:00:00"/>
    <s v="F"/>
    <x v="1"/>
    <x v="2"/>
    <s v="California"/>
    <s v="Los Angeles County"/>
    <x v="1"/>
    <x v="9"/>
    <x v="2"/>
  </r>
  <r>
    <s v="TX501787"/>
    <x v="7"/>
    <x v="3"/>
    <n v="61.3"/>
    <n v="429.09999999999997"/>
    <x v="64"/>
    <d v="2025-03-06T00:00:00"/>
    <s v="F"/>
    <x v="4"/>
    <x v="2"/>
    <s v="California"/>
    <s v="Los Angeles County"/>
    <x v="7"/>
    <x v="9"/>
    <x v="2"/>
  </r>
  <r>
    <s v="TX501788"/>
    <x v="9"/>
    <x v="0"/>
    <n v="54.7"/>
    <n v="54.7"/>
    <x v="65"/>
    <d v="2025-03-08T00:00:00"/>
    <s v="M"/>
    <x v="0"/>
    <x v="1"/>
    <s v="California"/>
    <s v="Los Angeles County"/>
    <x v="3"/>
    <x v="9"/>
    <x v="1"/>
  </r>
  <r>
    <s v="TX501789"/>
    <x v="6"/>
    <x v="7"/>
    <n v="84.7"/>
    <n v="847"/>
    <x v="65"/>
    <d v="2025-03-11T00:00:00"/>
    <s v="F"/>
    <x v="0"/>
    <x v="0"/>
    <s v="California"/>
    <s v="Los Angeles County"/>
    <x v="5"/>
    <x v="9"/>
    <x v="2"/>
  </r>
  <r>
    <s v="TX501790"/>
    <x v="1"/>
    <x v="2"/>
    <n v="93.4"/>
    <n v="280.20000000000005"/>
    <x v="65"/>
    <d v="2025-03-11T00:00:00"/>
    <s v="F"/>
    <x v="3"/>
    <x v="0"/>
    <s v="California"/>
    <s v="Los Angeles County"/>
    <x v="5"/>
    <x v="9"/>
    <x v="2"/>
  </r>
  <r>
    <s v="TX501791"/>
    <x v="8"/>
    <x v="9"/>
    <n v="27"/>
    <n v="135"/>
    <x v="65"/>
    <d v="2025-03-10T00:00:00"/>
    <s v="M"/>
    <x v="0"/>
    <x v="1"/>
    <s v="California"/>
    <s v="Los Angeles County"/>
    <x v="2"/>
    <x v="9"/>
    <x v="1"/>
  </r>
  <r>
    <s v="TX501792"/>
    <x v="0"/>
    <x v="12"/>
    <n v="10.9"/>
    <n v="43.6"/>
    <x v="65"/>
    <d v="2025-03-08T00:00:00"/>
    <s v="M"/>
    <x v="2"/>
    <x v="0"/>
    <s v="California"/>
    <s v="Los Angeles County"/>
    <x v="3"/>
    <x v="9"/>
    <x v="1"/>
  </r>
  <r>
    <s v="TX501793"/>
    <x v="16"/>
    <x v="2"/>
    <n v="48"/>
    <n v="144"/>
    <x v="65"/>
    <d v="2025-03-12T00:00:00"/>
    <s v="F"/>
    <x v="4"/>
    <x v="0"/>
    <s v="California"/>
    <s v="Los Angeles County"/>
    <x v="0"/>
    <x v="9"/>
    <x v="2"/>
  </r>
  <r>
    <s v="TX501794"/>
    <x v="5"/>
    <x v="1"/>
    <n v="67.900000000000006"/>
    <n v="135.80000000000001"/>
    <x v="65"/>
    <d v="2025-03-08T00:00:00"/>
    <s v="M"/>
    <x v="0"/>
    <x v="2"/>
    <s v="California"/>
    <s v="Riverside County"/>
    <x v="3"/>
    <x v="9"/>
    <x v="1"/>
  </r>
  <r>
    <s v="TX501795"/>
    <x v="4"/>
    <x v="2"/>
    <n v="36"/>
    <n v="108"/>
    <x v="65"/>
    <d v="2025-03-08T00:00:00"/>
    <s v="M"/>
    <x v="1"/>
    <x v="0"/>
    <s v="California"/>
    <s v="Sacramento County"/>
    <x v="3"/>
    <x v="9"/>
    <x v="1"/>
  </r>
  <r>
    <s v="TX501796"/>
    <x v="2"/>
    <x v="0"/>
    <n v="128.80000000000001"/>
    <n v="128.80000000000001"/>
    <x v="65"/>
    <d v="2025-03-08T00:00:00"/>
    <s v="M"/>
    <x v="4"/>
    <x v="2"/>
    <s v="California"/>
    <s v="Sacramento County"/>
    <x v="3"/>
    <x v="9"/>
    <x v="1"/>
  </r>
  <r>
    <s v="TX501797"/>
    <x v="18"/>
    <x v="3"/>
    <n v="33.299999999999997"/>
    <n v="233.09999999999997"/>
    <x v="65"/>
    <d v="2025-03-08T00:00:00"/>
    <s v="F"/>
    <x v="3"/>
    <x v="0"/>
    <s v="California"/>
    <s v="San Diego County"/>
    <x v="3"/>
    <x v="9"/>
    <x v="2"/>
  </r>
  <r>
    <s v="TX501798"/>
    <x v="10"/>
    <x v="2"/>
    <n v="37.799999999999997"/>
    <n v="113.39999999999999"/>
    <x v="65"/>
    <d v="2025-03-09T00:00:00"/>
    <s v="M"/>
    <x v="1"/>
    <x v="2"/>
    <s v="California"/>
    <s v="San Diego County"/>
    <x v="1"/>
    <x v="9"/>
    <x v="1"/>
  </r>
  <r>
    <s v="TX501799"/>
    <x v="5"/>
    <x v="2"/>
    <n v="26"/>
    <n v="78"/>
    <x v="65"/>
    <d v="2025-03-12T00:00:00"/>
    <s v="F"/>
    <x v="0"/>
    <x v="0"/>
    <s v="California"/>
    <s v="San Diego County"/>
    <x v="0"/>
    <x v="9"/>
    <x v="2"/>
  </r>
  <r>
    <s v="TX501800"/>
    <x v="8"/>
    <x v="10"/>
    <n v="28.3"/>
    <n v="537.70000000000005"/>
    <x v="65"/>
    <d v="2025-03-08T00:00:00"/>
    <s v="F"/>
    <x v="3"/>
    <x v="4"/>
    <s v="California"/>
    <s v="San Diego County"/>
    <x v="3"/>
    <x v="9"/>
    <x v="2"/>
  </r>
  <r>
    <s v="TX501801"/>
    <x v="8"/>
    <x v="12"/>
    <n v="31.3"/>
    <n v="125.2"/>
    <x v="65"/>
    <d v="2025-03-07T00:00:00"/>
    <s v="F"/>
    <x v="0"/>
    <x v="0"/>
    <s v="California"/>
    <s v="San Diego County"/>
    <x v="7"/>
    <x v="9"/>
    <x v="2"/>
  </r>
  <r>
    <s v="TX501802"/>
    <x v="7"/>
    <x v="2"/>
    <n v="69.5"/>
    <n v="208.5"/>
    <x v="65"/>
    <d v="2025-03-08T00:00:00"/>
    <s v="F"/>
    <x v="3"/>
    <x v="2"/>
    <s v="California"/>
    <s v="San Diego County"/>
    <x v="3"/>
    <x v="9"/>
    <x v="2"/>
  </r>
  <r>
    <s v="TX501803"/>
    <x v="0"/>
    <x v="1"/>
    <n v="16.7"/>
    <n v="33.4"/>
    <x v="65"/>
    <d v="2025-03-08T00:00:00"/>
    <s v="F"/>
    <x v="3"/>
    <x v="1"/>
    <s v="California"/>
    <s v="San Diego County"/>
    <x v="3"/>
    <x v="9"/>
    <x v="2"/>
  </r>
  <r>
    <s v="TX501804"/>
    <x v="9"/>
    <x v="1"/>
    <n v="62.6"/>
    <n v="125.2"/>
    <x v="65"/>
    <d v="2025-03-08T00:00:00"/>
    <s v="M"/>
    <x v="2"/>
    <x v="2"/>
    <s v="California"/>
    <s v="San Mateo County"/>
    <x v="3"/>
    <x v="9"/>
    <x v="1"/>
  </r>
  <r>
    <s v="TX501805"/>
    <x v="7"/>
    <x v="0"/>
    <n v="81.2"/>
    <n v="81.2"/>
    <x v="65"/>
    <d v="2025-03-13T00:00:00"/>
    <s v="M"/>
    <x v="4"/>
    <x v="4"/>
    <s v="California"/>
    <s v="San Mateo County"/>
    <x v="4"/>
    <x v="9"/>
    <x v="1"/>
  </r>
  <r>
    <s v="TX501806"/>
    <x v="0"/>
    <x v="7"/>
    <n v="12.7"/>
    <n v="127"/>
    <x v="65"/>
    <d v="2025-03-08T00:00:00"/>
    <s v="F"/>
    <x v="0"/>
    <x v="2"/>
    <s v="California"/>
    <s v="San Mateo County"/>
    <x v="3"/>
    <x v="9"/>
    <x v="2"/>
  </r>
  <r>
    <s v="TX501807"/>
    <x v="7"/>
    <x v="12"/>
    <n v="77.7"/>
    <n v="310.8"/>
    <x v="66"/>
    <d v="2025-03-12T00:00:00"/>
    <s v="M"/>
    <x v="1"/>
    <x v="0"/>
    <s v="California"/>
    <s v="Santa Clara County"/>
    <x v="5"/>
    <x v="9"/>
    <x v="1"/>
  </r>
  <r>
    <s v="TX501808"/>
    <x v="5"/>
    <x v="1"/>
    <n v="37.299999999999997"/>
    <n v="74.599999999999994"/>
    <x v="66"/>
    <d v="2025-03-09T00:00:00"/>
    <s v="F"/>
    <x v="0"/>
    <x v="2"/>
    <s v="California"/>
    <s v="Sonoma County"/>
    <x v="3"/>
    <x v="9"/>
    <x v="2"/>
  </r>
  <r>
    <s v="TX501809"/>
    <x v="10"/>
    <x v="12"/>
    <n v="35.6"/>
    <n v="142.4"/>
    <x v="66"/>
    <d v="2025-03-10T00:00:00"/>
    <s v="F"/>
    <x v="1"/>
    <x v="1"/>
    <s v="California"/>
    <s v="Stanislaus County"/>
    <x v="1"/>
    <x v="9"/>
    <x v="2"/>
  </r>
  <r>
    <s v="TX501810"/>
    <x v="2"/>
    <x v="2"/>
    <n v="95"/>
    <n v="285"/>
    <x v="66"/>
    <d v="2025-03-12T00:00:00"/>
    <s v="F"/>
    <x v="2"/>
    <x v="2"/>
    <s v="California"/>
    <s v="Yuba County"/>
    <x v="5"/>
    <x v="9"/>
    <x v="2"/>
  </r>
  <r>
    <s v="TX501811"/>
    <x v="2"/>
    <x v="12"/>
    <n v="172.1"/>
    <n v="688.4"/>
    <x v="66"/>
    <d v="2025-03-12T00:00:00"/>
    <s v="O"/>
    <x v="2"/>
    <x v="2"/>
    <s v="California"/>
    <s v="Alameda County"/>
    <x v="5"/>
    <x v="9"/>
    <x v="3"/>
  </r>
  <r>
    <s v="TX501812"/>
    <x v="2"/>
    <x v="1"/>
    <n v="233"/>
    <n v="466"/>
    <x v="66"/>
    <d v="2025-03-11T00:00:00"/>
    <s v="F"/>
    <x v="1"/>
    <x v="0"/>
    <s v="California"/>
    <s v="Alameda County"/>
    <x v="2"/>
    <x v="9"/>
    <x v="2"/>
  </r>
  <r>
    <s v="TX501813"/>
    <x v="0"/>
    <x v="0"/>
    <n v="43.5"/>
    <n v="43.5"/>
    <x v="66"/>
    <d v="2025-03-09T00:00:00"/>
    <s v="F"/>
    <x v="2"/>
    <x v="2"/>
    <s v="California"/>
    <s v="Alameda County"/>
    <x v="3"/>
    <x v="9"/>
    <x v="2"/>
  </r>
  <r>
    <s v="TX501814"/>
    <x v="9"/>
    <x v="1"/>
    <n v="47.8"/>
    <n v="95.6"/>
    <x v="66"/>
    <d v="2025-03-11T00:00:00"/>
    <s v="M"/>
    <x v="4"/>
    <x v="2"/>
    <s v="California"/>
    <s v="Contra Costa County"/>
    <x v="2"/>
    <x v="9"/>
    <x v="1"/>
  </r>
  <r>
    <s v="TX501815"/>
    <x v="12"/>
    <x v="1"/>
    <n v="65.8"/>
    <n v="131.6"/>
    <x v="66"/>
    <d v="2025-03-10T00:00:00"/>
    <s v="F"/>
    <x v="0"/>
    <x v="3"/>
    <s v="California"/>
    <s v="Imperial County"/>
    <x v="1"/>
    <x v="9"/>
    <x v="2"/>
  </r>
  <r>
    <s v="TX501816"/>
    <x v="15"/>
    <x v="5"/>
    <n v="38.700000000000003"/>
    <n v="425.70000000000005"/>
    <x v="66"/>
    <d v="2025-03-08T00:00:00"/>
    <s v="M"/>
    <x v="0"/>
    <x v="0"/>
    <s v="California"/>
    <s v="Kern County"/>
    <x v="7"/>
    <x v="9"/>
    <x v="1"/>
  </r>
  <r>
    <s v="TX501817"/>
    <x v="3"/>
    <x v="12"/>
    <n v="55.7"/>
    <n v="222.8"/>
    <x v="66"/>
    <d v="2025-03-10T00:00:00"/>
    <s v="O"/>
    <x v="0"/>
    <x v="1"/>
    <s v="California"/>
    <s v="Kern County"/>
    <x v="1"/>
    <x v="9"/>
    <x v="3"/>
  </r>
  <r>
    <s v="TX501818"/>
    <x v="7"/>
    <x v="1"/>
    <n v="102.4"/>
    <n v="204.8"/>
    <x v="66"/>
    <d v="2025-03-08T00:00:00"/>
    <s v="F"/>
    <x v="1"/>
    <x v="0"/>
    <s v="California"/>
    <s v="Los Angeles County"/>
    <x v="7"/>
    <x v="9"/>
    <x v="2"/>
  </r>
  <r>
    <s v="TX501819"/>
    <x v="1"/>
    <x v="0"/>
    <n v="92"/>
    <n v="92"/>
    <x v="66"/>
    <d v="2025-03-12T00:00:00"/>
    <s v=""/>
    <x v="2"/>
    <x v="0"/>
    <s v="California"/>
    <s v="Los Angeles County"/>
    <x v="5"/>
    <x v="9"/>
    <x v="0"/>
  </r>
  <r>
    <s v="TX501820"/>
    <x v="6"/>
    <x v="12"/>
    <n v="75.900000000000006"/>
    <n v="303.60000000000002"/>
    <x v="66"/>
    <d v="2025-03-10T00:00:00"/>
    <s v="F"/>
    <x v="1"/>
    <x v="0"/>
    <s v="California"/>
    <s v="Los Angeles County"/>
    <x v="1"/>
    <x v="9"/>
    <x v="2"/>
  </r>
  <r>
    <s v="TX501821"/>
    <x v="1"/>
    <x v="12"/>
    <n v="36.200000000000003"/>
    <n v="144.80000000000001"/>
    <x v="66"/>
    <d v="2025-03-09T00:00:00"/>
    <s v="F"/>
    <x v="1"/>
    <x v="0"/>
    <s v="California"/>
    <s v="Los Angeles County"/>
    <x v="3"/>
    <x v="9"/>
    <x v="2"/>
  </r>
  <r>
    <s v="TX501822"/>
    <x v="6"/>
    <x v="45"/>
    <n v="83.5"/>
    <n v="7264.5"/>
    <x v="66"/>
    <d v="2025-03-10T00:00:00"/>
    <s v=""/>
    <x v="3"/>
    <x v="0"/>
    <s v="California"/>
    <s v="Los Angeles County"/>
    <x v="1"/>
    <x v="9"/>
    <x v="0"/>
  </r>
  <r>
    <s v="TX501823"/>
    <x v="19"/>
    <x v="4"/>
    <n v="52.4"/>
    <n v="628.79999999999995"/>
    <x v="66"/>
    <d v="2025-03-08T00:00:00"/>
    <s v="M"/>
    <x v="2"/>
    <x v="0"/>
    <s v="California"/>
    <s v="Los Angeles County"/>
    <x v="7"/>
    <x v="9"/>
    <x v="1"/>
  </r>
  <r>
    <s v="TX501824"/>
    <x v="12"/>
    <x v="2"/>
    <n v="69.5"/>
    <n v="208.5"/>
    <x v="66"/>
    <d v="2025-03-09T00:00:00"/>
    <s v="O"/>
    <x v="4"/>
    <x v="0"/>
    <s v="California"/>
    <s v="Los Angeles County"/>
    <x v="3"/>
    <x v="9"/>
    <x v="3"/>
  </r>
  <r>
    <s v="TX501825"/>
    <x v="0"/>
    <x v="0"/>
    <n v="15.5"/>
    <n v="15.5"/>
    <x v="66"/>
    <d v="2025-03-10T00:00:00"/>
    <s v="M"/>
    <x v="0"/>
    <x v="0"/>
    <s v="California"/>
    <s v="Los Angeles County"/>
    <x v="1"/>
    <x v="9"/>
    <x v="1"/>
  </r>
  <r>
    <s v="TX501826"/>
    <x v="4"/>
    <x v="12"/>
    <n v="35.200000000000003"/>
    <n v="140.80000000000001"/>
    <x v="66"/>
    <d v="2025-03-09T00:00:00"/>
    <s v="F"/>
    <x v="2"/>
    <x v="2"/>
    <s v="California"/>
    <s v="Los Angeles County"/>
    <x v="3"/>
    <x v="9"/>
    <x v="2"/>
  </r>
  <r>
    <s v="TX501827"/>
    <x v="8"/>
    <x v="13"/>
    <n v="34.6"/>
    <n v="207.60000000000002"/>
    <x v="66"/>
    <d v="2025-03-09T00:00:00"/>
    <s v=""/>
    <x v="0"/>
    <x v="1"/>
    <s v="California"/>
    <s v="Los Angeles County"/>
    <x v="3"/>
    <x v="9"/>
    <x v="0"/>
  </r>
  <r>
    <s v="TX501828"/>
    <x v="4"/>
    <x v="0"/>
    <n v="21.3"/>
    <n v="21.3"/>
    <x v="67"/>
    <d v="2025-03-10T00:00:00"/>
    <s v="M"/>
    <x v="2"/>
    <x v="1"/>
    <s v="California"/>
    <s v="Los Angeles County"/>
    <x v="3"/>
    <x v="10"/>
    <x v="1"/>
  </r>
  <r>
    <s v="TX501829"/>
    <x v="6"/>
    <x v="1"/>
    <n v="136.5"/>
    <n v="273"/>
    <x v="67"/>
    <d v="2025-03-15T00:00:00"/>
    <s v="F"/>
    <x v="0"/>
    <x v="0"/>
    <s v="California"/>
    <s v="Madera County"/>
    <x v="4"/>
    <x v="10"/>
    <x v="2"/>
  </r>
  <r>
    <s v="TX501830"/>
    <x v="9"/>
    <x v="3"/>
    <n v="30.7"/>
    <n v="214.9"/>
    <x v="67"/>
    <d v="2025-03-10T00:00:00"/>
    <s v="M"/>
    <x v="2"/>
    <x v="2"/>
    <s v="California"/>
    <s v="Orange County"/>
    <x v="3"/>
    <x v="10"/>
    <x v="1"/>
  </r>
  <r>
    <s v="TX501831"/>
    <x v="1"/>
    <x v="1"/>
    <n v="61.6"/>
    <n v="123.2"/>
    <x v="67"/>
    <d v="2025-03-10T00:00:00"/>
    <s v="F"/>
    <x v="2"/>
    <x v="2"/>
    <s v="California"/>
    <s v="Riverside County"/>
    <x v="3"/>
    <x v="10"/>
    <x v="2"/>
  </r>
  <r>
    <s v="TX501832"/>
    <x v="6"/>
    <x v="12"/>
    <n v="54.3"/>
    <n v="217.2"/>
    <x v="67"/>
    <d v="2025-03-11T00:00:00"/>
    <s v=""/>
    <x v="4"/>
    <x v="0"/>
    <s v="California"/>
    <s v="San Bernardino County"/>
    <x v="1"/>
    <x v="10"/>
    <x v="0"/>
  </r>
  <r>
    <s v="TX501833"/>
    <x v="1"/>
    <x v="1"/>
    <n v="44.1"/>
    <n v="88.2"/>
    <x v="67"/>
    <d v="2025-03-21T00:00:00"/>
    <s v="F"/>
    <x v="0"/>
    <x v="2"/>
    <s v="California"/>
    <s v="San Diego County"/>
    <x v="13"/>
    <x v="10"/>
    <x v="2"/>
  </r>
  <r>
    <s v="TX501834"/>
    <x v="8"/>
    <x v="12"/>
    <n v="43.5"/>
    <n v="174"/>
    <x v="67"/>
    <d v="2025-03-15T00:00:00"/>
    <s v="M"/>
    <x v="3"/>
    <x v="0"/>
    <s v="California"/>
    <s v="San Diego County"/>
    <x v="4"/>
    <x v="10"/>
    <x v="1"/>
  </r>
  <r>
    <s v="TX501835"/>
    <x v="8"/>
    <x v="2"/>
    <n v="48.2"/>
    <n v="144.60000000000002"/>
    <x v="67"/>
    <d v="2025-03-13T00:00:00"/>
    <s v="M"/>
    <x v="3"/>
    <x v="1"/>
    <s v="California"/>
    <s v="San Diego County"/>
    <x v="5"/>
    <x v="10"/>
    <x v="1"/>
  </r>
  <r>
    <s v="TX501836"/>
    <x v="19"/>
    <x v="0"/>
    <n v="13.7"/>
    <n v="13.7"/>
    <x v="67"/>
    <d v="2025-03-10T00:00:00"/>
    <s v="F"/>
    <x v="2"/>
    <x v="2"/>
    <s v="California"/>
    <s v="San Diego County"/>
    <x v="3"/>
    <x v="10"/>
    <x v="2"/>
  </r>
  <r>
    <s v="TX501837"/>
    <x v="2"/>
    <x v="1"/>
    <n v="110.5"/>
    <n v="221"/>
    <x v="67"/>
    <d v="2025-03-10T00:00:00"/>
    <s v="F"/>
    <x v="0"/>
    <x v="1"/>
    <s v="California"/>
    <s v="San Diego County"/>
    <x v="3"/>
    <x v="10"/>
    <x v="2"/>
  </r>
  <r>
    <s v="TX501838"/>
    <x v="8"/>
    <x v="2"/>
    <n v="26"/>
    <n v="78"/>
    <x v="67"/>
    <d v="2025-03-14T00:00:00"/>
    <s v="F"/>
    <x v="1"/>
    <x v="1"/>
    <s v="California"/>
    <s v="San Diego County"/>
    <x v="0"/>
    <x v="10"/>
    <x v="2"/>
  </r>
  <r>
    <s v="TX501839"/>
    <x v="2"/>
    <x v="7"/>
    <n v="140.69999999999999"/>
    <n v="1407"/>
    <x v="67"/>
    <d v="2025-03-15T00:00:00"/>
    <s v="M"/>
    <x v="3"/>
    <x v="1"/>
    <s v="California"/>
    <s v="San Diego County"/>
    <x v="4"/>
    <x v="10"/>
    <x v="1"/>
  </r>
  <r>
    <s v="TX501840"/>
    <x v="17"/>
    <x v="1"/>
    <n v="41.7"/>
    <n v="83.4"/>
    <x v="67"/>
    <d v="2025-03-17T00:00:00"/>
    <s v="F"/>
    <x v="0"/>
    <x v="4"/>
    <s v="California"/>
    <s v="San Diego County"/>
    <x v="9"/>
    <x v="10"/>
    <x v="2"/>
  </r>
  <r>
    <s v="TX501841"/>
    <x v="2"/>
    <x v="1"/>
    <n v="135.1"/>
    <n v="270.2"/>
    <x v="67"/>
    <d v="2025-03-10T00:00:00"/>
    <s v="M"/>
    <x v="0"/>
    <x v="2"/>
    <s v="California"/>
    <s v="San Francisco"/>
    <x v="3"/>
    <x v="10"/>
    <x v="1"/>
  </r>
  <r>
    <s v="TX501842"/>
    <x v="12"/>
    <x v="32"/>
    <n v="95.5"/>
    <n v="2101"/>
    <x v="67"/>
    <d v="2025-03-10T00:00:00"/>
    <s v="F"/>
    <x v="4"/>
    <x v="4"/>
    <s v="California"/>
    <s v="San Joaquin County"/>
    <x v="3"/>
    <x v="10"/>
    <x v="2"/>
  </r>
  <r>
    <s v="TX501843"/>
    <x v="15"/>
    <x v="0"/>
    <n v="25.5"/>
    <n v="25.5"/>
    <x v="67"/>
    <d v="2025-03-12T00:00:00"/>
    <s v=""/>
    <x v="2"/>
    <x v="2"/>
    <s v="California"/>
    <s v="Santa Clara County"/>
    <x v="2"/>
    <x v="10"/>
    <x v="0"/>
  </r>
  <r>
    <s v="TX501844"/>
    <x v="1"/>
    <x v="0"/>
    <n v="42.6"/>
    <n v="42.6"/>
    <x v="67"/>
    <d v="2025-03-13T00:00:00"/>
    <s v="F"/>
    <x v="0"/>
    <x v="0"/>
    <s v="California"/>
    <s v="Santa Clara County"/>
    <x v="5"/>
    <x v="10"/>
    <x v="2"/>
  </r>
  <r>
    <s v="TX501845"/>
    <x v="8"/>
    <x v="20"/>
    <n v="32.4"/>
    <n v="486"/>
    <x v="67"/>
    <d v="2025-03-10T00:00:00"/>
    <s v="M"/>
    <x v="1"/>
    <x v="1"/>
    <s v="California"/>
    <s v="Santa Clara County"/>
    <x v="3"/>
    <x v="10"/>
    <x v="1"/>
  </r>
  <r>
    <s v="TX501846"/>
    <x v="4"/>
    <x v="12"/>
    <n v="20.2"/>
    <n v="80.8"/>
    <x v="67"/>
    <d v="2025-03-10T00:00:00"/>
    <s v="O"/>
    <x v="2"/>
    <x v="0"/>
    <s v="California"/>
    <s v="Santa Clara County"/>
    <x v="3"/>
    <x v="10"/>
    <x v="3"/>
  </r>
  <r>
    <s v="TX501847"/>
    <x v="16"/>
    <x v="2"/>
    <n v="52.5"/>
    <n v="157.5"/>
    <x v="67"/>
    <d v="2025-03-14T00:00:00"/>
    <s v="F"/>
    <x v="4"/>
    <x v="0"/>
    <s v="California"/>
    <s v="Sonoma County"/>
    <x v="0"/>
    <x v="10"/>
    <x v="2"/>
  </r>
  <r>
    <s v="TX501848"/>
    <x v="2"/>
    <x v="9"/>
    <n v="59.9"/>
    <n v="299.5"/>
    <x v="67"/>
    <d v="2025-03-11T00:00:00"/>
    <s v="F"/>
    <x v="2"/>
    <x v="0"/>
    <s v="California"/>
    <s v="Stanislaus County"/>
    <x v="1"/>
    <x v="10"/>
    <x v="2"/>
  </r>
  <r>
    <s v="TX501849"/>
    <x v="4"/>
    <x v="1"/>
    <n v="53.2"/>
    <n v="106.4"/>
    <x v="67"/>
    <d v="2025-03-10T00:00:00"/>
    <s v="F"/>
    <x v="1"/>
    <x v="3"/>
    <s v="California"/>
    <s v="Tulare County"/>
    <x v="3"/>
    <x v="10"/>
    <x v="2"/>
  </r>
  <r>
    <s v="TX501850"/>
    <x v="2"/>
    <x v="1"/>
    <n v="60"/>
    <n v="120"/>
    <x v="67"/>
    <d v="2025-03-15T00:00:00"/>
    <s v="M"/>
    <x v="1"/>
    <x v="2"/>
    <s v="California"/>
    <s v="Tulare County"/>
    <x v="4"/>
    <x v="10"/>
    <x v="1"/>
  </r>
  <r>
    <s v="TX501851"/>
    <x v="8"/>
    <x v="2"/>
    <n v="29.3"/>
    <n v="87.9"/>
    <x v="67"/>
    <d v="2025-03-10T00:00:00"/>
    <s v="F"/>
    <x v="4"/>
    <x v="0"/>
    <s v="California"/>
    <s v="Ventura County"/>
    <x v="3"/>
    <x v="10"/>
    <x v="2"/>
  </r>
  <r>
    <s v="TX501852"/>
    <x v="12"/>
    <x v="1"/>
    <n v="55.4"/>
    <n v="110.8"/>
    <x v="67"/>
    <d v="2025-03-10T00:00:00"/>
    <s v="F"/>
    <x v="0"/>
    <x v="2"/>
    <s v="California"/>
    <s v="Alameda County"/>
    <x v="3"/>
    <x v="10"/>
    <x v="2"/>
  </r>
  <r>
    <s v="TX501853"/>
    <x v="0"/>
    <x v="9"/>
    <n v="20.100000000000001"/>
    <n v="100.5"/>
    <x v="67"/>
    <d v="2025-03-11T00:00:00"/>
    <s v="F"/>
    <x v="1"/>
    <x v="2"/>
    <s v="California"/>
    <s v="Alameda County"/>
    <x v="1"/>
    <x v="10"/>
    <x v="2"/>
  </r>
  <r>
    <s v="TX501854"/>
    <x v="14"/>
    <x v="9"/>
    <n v="24"/>
    <n v="120"/>
    <x v="67"/>
    <d v="2025-03-12T00:00:00"/>
    <s v="M"/>
    <x v="2"/>
    <x v="0"/>
    <s v="California"/>
    <s v="Contra Costa County"/>
    <x v="2"/>
    <x v="10"/>
    <x v="1"/>
  </r>
  <r>
    <s v="TX501855"/>
    <x v="8"/>
    <x v="1"/>
    <n v="30.6"/>
    <n v="61.2"/>
    <x v="68"/>
    <d v="2025-03-12T00:00:00"/>
    <s v="F"/>
    <x v="0"/>
    <x v="0"/>
    <s v="California"/>
    <s v="Contra Costa County"/>
    <x v="1"/>
    <x v="10"/>
    <x v="2"/>
  </r>
  <r>
    <s v="TX501856"/>
    <x v="10"/>
    <x v="9"/>
    <n v="33"/>
    <n v="165"/>
    <x v="68"/>
    <d v="2025-03-11T00:00:00"/>
    <s v="M"/>
    <x v="1"/>
    <x v="1"/>
    <s v="California"/>
    <s v="Glenn County"/>
    <x v="3"/>
    <x v="10"/>
    <x v="1"/>
  </r>
  <r>
    <s v="TX501857"/>
    <x v="17"/>
    <x v="11"/>
    <n v="42.1"/>
    <n v="378.90000000000003"/>
    <x v="68"/>
    <d v="2025-03-16T00:00:00"/>
    <s v="F"/>
    <x v="2"/>
    <x v="0"/>
    <s v="California"/>
    <s v="Humboldt County"/>
    <x v="4"/>
    <x v="10"/>
    <x v="2"/>
  </r>
  <r>
    <s v="TX501858"/>
    <x v="6"/>
    <x v="3"/>
    <n v="77.7"/>
    <n v="543.9"/>
    <x v="68"/>
    <d v="2025-03-15T00:00:00"/>
    <s v="F"/>
    <x v="1"/>
    <x v="2"/>
    <s v="California"/>
    <s v="Lake County"/>
    <x v="0"/>
    <x v="10"/>
    <x v="2"/>
  </r>
  <r>
    <s v="TX501859"/>
    <x v="17"/>
    <x v="13"/>
    <n v="22.7"/>
    <n v="136.19999999999999"/>
    <x v="68"/>
    <d v="2025-03-13T00:00:00"/>
    <s v="F"/>
    <x v="2"/>
    <x v="0"/>
    <s v="California"/>
    <s v="Los Angeles County"/>
    <x v="2"/>
    <x v="10"/>
    <x v="2"/>
  </r>
  <r>
    <s v="TX501860"/>
    <x v="2"/>
    <x v="1"/>
    <n v="133"/>
    <n v="266"/>
    <x v="68"/>
    <d v="2025-03-10T00:00:00"/>
    <s v="M"/>
    <x v="2"/>
    <x v="2"/>
    <s v="California"/>
    <s v="Los Angeles County"/>
    <x v="7"/>
    <x v="10"/>
    <x v="1"/>
  </r>
  <r>
    <s v="TX501861"/>
    <x v="0"/>
    <x v="1"/>
    <n v="23.3"/>
    <n v="46.6"/>
    <x v="68"/>
    <d v="2025-03-11T00:00:00"/>
    <s v="M"/>
    <x v="1"/>
    <x v="2"/>
    <s v="California"/>
    <s v="Los Angeles County"/>
    <x v="3"/>
    <x v="10"/>
    <x v="1"/>
  </r>
  <r>
    <s v="TX501862"/>
    <x v="8"/>
    <x v="2"/>
    <n v="20.7"/>
    <n v="62.099999999999994"/>
    <x v="68"/>
    <d v="2025-03-12T00:00:00"/>
    <s v="O"/>
    <x v="0"/>
    <x v="2"/>
    <s v="California"/>
    <s v="Los Angeles County"/>
    <x v="1"/>
    <x v="10"/>
    <x v="3"/>
  </r>
  <r>
    <s v="TX501863"/>
    <x v="12"/>
    <x v="1"/>
    <n v="47"/>
    <n v="94"/>
    <x v="68"/>
    <d v="2025-03-11T00:00:00"/>
    <s v="M"/>
    <x v="1"/>
    <x v="2"/>
    <s v="California"/>
    <s v="Los Angeles County"/>
    <x v="3"/>
    <x v="10"/>
    <x v="1"/>
  </r>
  <r>
    <s v="TX501864"/>
    <x v="12"/>
    <x v="2"/>
    <n v="38.200000000000003"/>
    <n v="114.60000000000001"/>
    <x v="68"/>
    <d v="2025-03-12T00:00:00"/>
    <s v="F"/>
    <x v="2"/>
    <x v="4"/>
    <s v="California"/>
    <s v="Los Angeles County"/>
    <x v="1"/>
    <x v="10"/>
    <x v="2"/>
  </r>
  <r>
    <s v="TX501865"/>
    <x v="9"/>
    <x v="0"/>
    <n v="39.1"/>
    <n v="39.1"/>
    <x v="68"/>
    <d v="2025-03-12T00:00:00"/>
    <s v="F"/>
    <x v="0"/>
    <x v="0"/>
    <s v="California"/>
    <s v="Los Angeles County"/>
    <x v="1"/>
    <x v="10"/>
    <x v="2"/>
  </r>
  <r>
    <s v="TX501866"/>
    <x v="7"/>
    <x v="30"/>
    <n v="55.6"/>
    <n v="1390"/>
    <x v="68"/>
    <d v="2025-03-12T00:00:00"/>
    <s v="M"/>
    <x v="0"/>
    <x v="2"/>
    <s v="California"/>
    <s v="Los Angeles County"/>
    <x v="1"/>
    <x v="10"/>
    <x v="1"/>
  </r>
  <r>
    <s v="TX501867"/>
    <x v="15"/>
    <x v="0"/>
    <n v="43.1"/>
    <n v="43.1"/>
    <x v="68"/>
    <d v="2025-03-10T00:00:00"/>
    <s v="O"/>
    <x v="1"/>
    <x v="2"/>
    <s v="California"/>
    <s v="Los Angeles County"/>
    <x v="7"/>
    <x v="10"/>
    <x v="3"/>
  </r>
  <r>
    <s v="TX501868"/>
    <x v="6"/>
    <x v="12"/>
    <n v="48.1"/>
    <n v="192.4"/>
    <x v="68"/>
    <d v="2025-03-11T00:00:00"/>
    <s v="F"/>
    <x v="4"/>
    <x v="2"/>
    <s v="California"/>
    <s v="Los Angeles County"/>
    <x v="3"/>
    <x v="10"/>
    <x v="2"/>
  </r>
  <r>
    <s v="TX501869"/>
    <x v="4"/>
    <x v="0"/>
    <n v="42"/>
    <n v="42"/>
    <x v="68"/>
    <d v="2025-03-11T00:00:00"/>
    <s v="O"/>
    <x v="0"/>
    <x v="0"/>
    <s v="California"/>
    <s v="Los Angeles County"/>
    <x v="3"/>
    <x v="10"/>
    <x v="3"/>
  </r>
  <r>
    <s v="TX501870"/>
    <x v="8"/>
    <x v="9"/>
    <n v="18.3"/>
    <n v="91.5"/>
    <x v="68"/>
    <d v="2025-03-10T00:00:00"/>
    <s v="F"/>
    <x v="2"/>
    <x v="0"/>
    <s v="California"/>
    <s v="Los Angeles County"/>
    <x v="7"/>
    <x v="10"/>
    <x v="2"/>
  </r>
  <r>
    <s v="TX501871"/>
    <x v="10"/>
    <x v="12"/>
    <n v="45.3"/>
    <n v="181.2"/>
    <x v="68"/>
    <d v="2025-03-13T00:00:00"/>
    <s v="F"/>
    <x v="0"/>
    <x v="2"/>
    <s v="California"/>
    <s v="Los Angeles County"/>
    <x v="2"/>
    <x v="10"/>
    <x v="2"/>
  </r>
  <r>
    <s v="TX501872"/>
    <x v="0"/>
    <x v="1"/>
    <n v="27.6"/>
    <n v="55.2"/>
    <x v="68"/>
    <d v="2025-03-12T00:00:00"/>
    <s v="M"/>
    <x v="0"/>
    <x v="2"/>
    <s v="California"/>
    <s v="Madera County"/>
    <x v="1"/>
    <x v="10"/>
    <x v="1"/>
  </r>
  <r>
    <s v="TX501873"/>
    <x v="4"/>
    <x v="9"/>
    <n v="26.9"/>
    <n v="134.5"/>
    <x v="68"/>
    <d v="2025-03-11T00:00:00"/>
    <s v="F"/>
    <x v="2"/>
    <x v="0"/>
    <s v="California"/>
    <s v="Orange County"/>
    <x v="3"/>
    <x v="10"/>
    <x v="2"/>
  </r>
  <r>
    <s v="TX501874"/>
    <x v="2"/>
    <x v="11"/>
    <n v="82.4"/>
    <n v="741.6"/>
    <x v="68"/>
    <d v="2025-03-12T00:00:00"/>
    <s v="O"/>
    <x v="2"/>
    <x v="0"/>
    <s v="California"/>
    <s v="Placer County"/>
    <x v="1"/>
    <x v="10"/>
    <x v="3"/>
  </r>
  <r>
    <s v="TX501875"/>
    <x v="6"/>
    <x v="0"/>
    <n v="103.7"/>
    <n v="103.7"/>
    <x v="68"/>
    <d v="2025-03-12T00:00:00"/>
    <s v="F"/>
    <x v="1"/>
    <x v="0"/>
    <s v="California"/>
    <s v="Placer County"/>
    <x v="1"/>
    <x v="10"/>
    <x v="2"/>
  </r>
  <r>
    <s v="TX501876"/>
    <x v="2"/>
    <x v="1"/>
    <n v="58.8"/>
    <n v="117.6"/>
    <x v="68"/>
    <d v="2025-03-15T00:00:00"/>
    <s v="F"/>
    <x v="1"/>
    <x v="2"/>
    <s v="California"/>
    <s v="Sacramento County"/>
    <x v="0"/>
    <x v="10"/>
    <x v="2"/>
  </r>
  <r>
    <s v="TX501877"/>
    <x v="13"/>
    <x v="0"/>
    <n v="31.5"/>
    <n v="31.5"/>
    <x v="68"/>
    <d v="2025-03-11T00:00:00"/>
    <s v="F"/>
    <x v="1"/>
    <x v="1"/>
    <s v="California"/>
    <s v="Sacramento County"/>
    <x v="3"/>
    <x v="10"/>
    <x v="2"/>
  </r>
  <r>
    <s v="TX501878"/>
    <x v="7"/>
    <x v="9"/>
    <n v="36.799999999999997"/>
    <n v="184"/>
    <x v="68"/>
    <d v="2025-03-12T00:00:00"/>
    <s v="F"/>
    <x v="0"/>
    <x v="0"/>
    <s v="California"/>
    <s v="San Diego County"/>
    <x v="1"/>
    <x v="10"/>
    <x v="2"/>
  </r>
  <r>
    <s v="TX501879"/>
    <x v="3"/>
    <x v="0"/>
    <n v="84.4"/>
    <n v="84.4"/>
    <x v="68"/>
    <d v="2025-03-11T00:00:00"/>
    <s v="F"/>
    <x v="0"/>
    <x v="0"/>
    <s v="California"/>
    <s v="San Diego County"/>
    <x v="3"/>
    <x v="10"/>
    <x v="2"/>
  </r>
  <r>
    <s v="TX501880"/>
    <x v="14"/>
    <x v="0"/>
    <n v="44.7"/>
    <n v="44.7"/>
    <x v="68"/>
    <d v="2025-03-11T00:00:00"/>
    <s v="M"/>
    <x v="0"/>
    <x v="1"/>
    <s v="California"/>
    <s v="San Diego County"/>
    <x v="3"/>
    <x v="10"/>
    <x v="1"/>
  </r>
  <r>
    <s v="TX501881"/>
    <x v="9"/>
    <x v="8"/>
    <n v="39.4"/>
    <n v="315.2"/>
    <x v="68"/>
    <d v="2025-03-11T00:00:00"/>
    <s v="F"/>
    <x v="1"/>
    <x v="2"/>
    <s v="California"/>
    <s v="San Diego County"/>
    <x v="3"/>
    <x v="10"/>
    <x v="2"/>
  </r>
  <r>
    <s v="TX501882"/>
    <x v="11"/>
    <x v="12"/>
    <n v="34.9"/>
    <n v="139.6"/>
    <x v="68"/>
    <d v="2025-03-12T00:00:00"/>
    <s v="F"/>
    <x v="0"/>
    <x v="2"/>
    <s v="California"/>
    <s v="San Diego County"/>
    <x v="1"/>
    <x v="10"/>
    <x v="2"/>
  </r>
  <r>
    <s v="TX501883"/>
    <x v="1"/>
    <x v="2"/>
    <n v="62.3"/>
    <n v="186.89999999999998"/>
    <x v="68"/>
    <d v="2025-03-12T00:00:00"/>
    <s v="M"/>
    <x v="4"/>
    <x v="2"/>
    <s v="California"/>
    <s v="San Diego County"/>
    <x v="1"/>
    <x v="10"/>
    <x v="1"/>
  </r>
  <r>
    <s v="TX501884"/>
    <x v="8"/>
    <x v="12"/>
    <n v="21.1"/>
    <n v="84.4"/>
    <x v="68"/>
    <d v="2025-03-13T00:00:00"/>
    <s v="M"/>
    <x v="3"/>
    <x v="0"/>
    <s v="California"/>
    <s v="San Diego County"/>
    <x v="2"/>
    <x v="10"/>
    <x v="1"/>
  </r>
  <r>
    <s v="TX501885"/>
    <x v="8"/>
    <x v="2"/>
    <n v="33.200000000000003"/>
    <n v="99.600000000000009"/>
    <x v="68"/>
    <d v="2025-03-24T00:00:00"/>
    <s v=""/>
    <x v="0"/>
    <x v="4"/>
    <s v="California"/>
    <s v="San Diego County"/>
    <x v="12"/>
    <x v="10"/>
    <x v="0"/>
  </r>
  <r>
    <s v="TX501886"/>
    <x v="1"/>
    <x v="12"/>
    <n v="74.5"/>
    <n v="298"/>
    <x v="68"/>
    <d v="2025-03-11T00:00:00"/>
    <s v="M"/>
    <x v="4"/>
    <x v="0"/>
    <s v="California"/>
    <s v="San Diego County"/>
    <x v="3"/>
    <x v="10"/>
    <x v="1"/>
  </r>
  <r>
    <s v="TX501887"/>
    <x v="10"/>
    <x v="4"/>
    <n v="68.599999999999994"/>
    <n v="823.19999999999993"/>
    <x v="68"/>
    <d v="2025-03-13T00:00:00"/>
    <s v="F"/>
    <x v="0"/>
    <x v="2"/>
    <s v="California"/>
    <s v="San Diego County"/>
    <x v="2"/>
    <x v="10"/>
    <x v="2"/>
  </r>
  <r>
    <s v="TX501888"/>
    <x v="5"/>
    <x v="21"/>
    <n v="36.4"/>
    <n v="509.59999999999997"/>
    <x v="68"/>
    <d v="2025-03-12T00:00:00"/>
    <s v="F"/>
    <x v="0"/>
    <x v="1"/>
    <s v="California"/>
    <s v="San Mateo County"/>
    <x v="1"/>
    <x v="10"/>
    <x v="2"/>
  </r>
  <r>
    <s v="TX501889"/>
    <x v="16"/>
    <x v="9"/>
    <n v="67.599999999999994"/>
    <n v="338"/>
    <x v="69"/>
    <d v="2025-03-14T00:00:00"/>
    <s v="F"/>
    <x v="4"/>
    <x v="1"/>
    <s v="California"/>
    <s v="San Mateo County"/>
    <x v="2"/>
    <x v="10"/>
    <x v="2"/>
  </r>
  <r>
    <s v="TX501890"/>
    <x v="15"/>
    <x v="0"/>
    <n v="46.3"/>
    <n v="46.3"/>
    <x v="69"/>
    <d v="2025-03-12T00:00:00"/>
    <s v="M"/>
    <x v="2"/>
    <x v="0"/>
    <s v="California"/>
    <s v="San Mateo County"/>
    <x v="3"/>
    <x v="10"/>
    <x v="1"/>
  </r>
  <r>
    <s v="TX501891"/>
    <x v="1"/>
    <x v="2"/>
    <n v="124.2"/>
    <n v="372.6"/>
    <x v="69"/>
    <d v="2025-03-13T00:00:00"/>
    <s v="F"/>
    <x v="1"/>
    <x v="2"/>
    <s v="California"/>
    <s v="Santa Clara County"/>
    <x v="1"/>
    <x v="10"/>
    <x v="2"/>
  </r>
  <r>
    <s v="TX501892"/>
    <x v="10"/>
    <x v="1"/>
    <n v="37"/>
    <n v="74"/>
    <x v="69"/>
    <d v="2025-03-17T00:00:00"/>
    <s v="M"/>
    <x v="0"/>
    <x v="0"/>
    <s v="California"/>
    <s v="Santa Clara County"/>
    <x v="4"/>
    <x v="10"/>
    <x v="1"/>
  </r>
  <r>
    <s v="TX501893"/>
    <x v="5"/>
    <x v="0"/>
    <n v="41.8"/>
    <n v="41.8"/>
    <x v="69"/>
    <d v="2025-03-12T00:00:00"/>
    <s v="M"/>
    <x v="2"/>
    <x v="0"/>
    <s v="California"/>
    <s v="Sutter County"/>
    <x v="3"/>
    <x v="10"/>
    <x v="1"/>
  </r>
  <r>
    <s v="TX501894"/>
    <x v="9"/>
    <x v="1"/>
    <n v="57.2"/>
    <n v="114.4"/>
    <x v="69"/>
    <d v="2025-03-13T00:00:00"/>
    <s v="M"/>
    <x v="2"/>
    <x v="1"/>
    <s v="California"/>
    <s v="Tulare County"/>
    <x v="1"/>
    <x v="10"/>
    <x v="1"/>
  </r>
  <r>
    <s v="TX501895"/>
    <x v="6"/>
    <x v="1"/>
    <n v="47.1"/>
    <n v="94.2"/>
    <x v="69"/>
    <d v="2025-03-13T00:00:00"/>
    <s v="F"/>
    <x v="0"/>
    <x v="4"/>
    <s v="California"/>
    <s v="Tulare County"/>
    <x v="1"/>
    <x v="10"/>
    <x v="2"/>
  </r>
  <r>
    <s v="TX501896"/>
    <x v="5"/>
    <x v="2"/>
    <n v="86.4"/>
    <n v="259.20000000000005"/>
    <x v="69"/>
    <d v="2025-03-12T00:00:00"/>
    <s v="M"/>
    <x v="2"/>
    <x v="1"/>
    <s v="California"/>
    <s v="Tuolumne County"/>
    <x v="3"/>
    <x v="10"/>
    <x v="1"/>
  </r>
  <r>
    <s v="TX501897"/>
    <x v="6"/>
    <x v="9"/>
    <n v="105"/>
    <n v="525"/>
    <x v="69"/>
    <d v="2025-03-14T00:00:00"/>
    <s v="M"/>
    <x v="0"/>
    <x v="0"/>
    <s v="California"/>
    <s v="Ventura County"/>
    <x v="2"/>
    <x v="10"/>
    <x v="1"/>
  </r>
  <r>
    <s v="TX501898"/>
    <x v="18"/>
    <x v="0"/>
    <n v="33"/>
    <n v="33"/>
    <x v="69"/>
    <d v="2025-03-14T00:00:00"/>
    <s v="M"/>
    <x v="4"/>
    <x v="0"/>
    <s v="California"/>
    <s v="Alameda County"/>
    <x v="2"/>
    <x v="10"/>
    <x v="1"/>
  </r>
  <r>
    <s v="TX501899"/>
    <x v="6"/>
    <x v="9"/>
    <n v="106.6"/>
    <n v="533"/>
    <x v="69"/>
    <d v="2025-03-24T00:00:00"/>
    <s v="F"/>
    <x v="2"/>
    <x v="0"/>
    <s v="California"/>
    <s v="Contra Costa County"/>
    <x v="10"/>
    <x v="10"/>
    <x v="2"/>
  </r>
  <r>
    <s v="TX501900"/>
    <x v="10"/>
    <x v="46"/>
    <n v="26.8"/>
    <n v="857.6"/>
    <x v="69"/>
    <d v="2025-03-12T00:00:00"/>
    <s v="F"/>
    <x v="2"/>
    <x v="0"/>
    <s v="California"/>
    <s v="Contra Costa County"/>
    <x v="3"/>
    <x v="10"/>
    <x v="2"/>
  </r>
  <r>
    <s v="TX501901"/>
    <x v="17"/>
    <x v="9"/>
    <n v="25.8"/>
    <n v="129"/>
    <x v="69"/>
    <d v="2025-03-11T00:00:00"/>
    <s v="F"/>
    <x v="1"/>
    <x v="2"/>
    <s v="California"/>
    <s v="Los Angeles County"/>
    <x v="7"/>
    <x v="10"/>
    <x v="2"/>
  </r>
  <r>
    <s v="TX501902"/>
    <x v="2"/>
    <x v="2"/>
    <n v="217"/>
    <n v="651"/>
    <x v="69"/>
    <d v="2025-03-12T00:00:00"/>
    <s v="F"/>
    <x v="1"/>
    <x v="1"/>
    <s v="California"/>
    <s v="Los Angeles County"/>
    <x v="3"/>
    <x v="10"/>
    <x v="2"/>
  </r>
  <r>
    <s v="TX501903"/>
    <x v="2"/>
    <x v="1"/>
    <n v="97.3"/>
    <n v="194.6"/>
    <x v="69"/>
    <d v="2025-03-12T00:00:00"/>
    <s v="M"/>
    <x v="2"/>
    <x v="4"/>
    <s v="California"/>
    <s v="Los Angeles County"/>
    <x v="3"/>
    <x v="10"/>
    <x v="1"/>
  </r>
  <r>
    <s v="TX501904"/>
    <x v="1"/>
    <x v="0"/>
    <n v="49.8"/>
    <n v="49.8"/>
    <x v="69"/>
    <d v="2025-03-12T00:00:00"/>
    <s v="F"/>
    <x v="0"/>
    <x v="0"/>
    <s v="California"/>
    <s v="Los Angeles County"/>
    <x v="3"/>
    <x v="10"/>
    <x v="2"/>
  </r>
  <r>
    <s v="TX501905"/>
    <x v="12"/>
    <x v="9"/>
    <n v="32.6"/>
    <n v="163"/>
    <x v="69"/>
    <d v="2025-03-12T00:00:00"/>
    <s v="F"/>
    <x v="0"/>
    <x v="0"/>
    <s v="California"/>
    <s v="Los Angeles County"/>
    <x v="3"/>
    <x v="10"/>
    <x v="2"/>
  </r>
  <r>
    <s v="TX501906"/>
    <x v="9"/>
    <x v="1"/>
    <n v="40.1"/>
    <n v="80.2"/>
    <x v="69"/>
    <d v="2025-03-14T00:00:00"/>
    <s v="M"/>
    <x v="1"/>
    <x v="2"/>
    <s v="California"/>
    <s v="Los Angeles County"/>
    <x v="2"/>
    <x v="10"/>
    <x v="1"/>
  </r>
  <r>
    <s v="TX501907"/>
    <x v="10"/>
    <x v="1"/>
    <n v="49.4"/>
    <n v="98.8"/>
    <x v="69"/>
    <d v="2025-03-13T00:00:00"/>
    <s v="M"/>
    <x v="1"/>
    <x v="0"/>
    <s v="California"/>
    <s v="Los Angeles County"/>
    <x v="1"/>
    <x v="10"/>
    <x v="1"/>
  </r>
  <r>
    <s v="TX501908"/>
    <x v="2"/>
    <x v="0"/>
    <n v="67.3"/>
    <n v="67.3"/>
    <x v="69"/>
    <d v="2025-03-12T00:00:00"/>
    <s v="F"/>
    <x v="0"/>
    <x v="2"/>
    <s v="California"/>
    <s v="Los Angeles County"/>
    <x v="3"/>
    <x v="10"/>
    <x v="2"/>
  </r>
  <r>
    <s v="TX501909"/>
    <x v="18"/>
    <x v="12"/>
    <n v="44.5"/>
    <n v="178"/>
    <x v="69"/>
    <d v="2025-03-14T00:00:00"/>
    <s v=""/>
    <x v="1"/>
    <x v="0"/>
    <s v="California"/>
    <s v="Los Angeles County"/>
    <x v="2"/>
    <x v="10"/>
    <x v="0"/>
  </r>
  <r>
    <s v="TX501910"/>
    <x v="6"/>
    <x v="5"/>
    <n v="111.1"/>
    <n v="1222.0999999999999"/>
    <x v="69"/>
    <d v="2025-03-12T00:00:00"/>
    <s v="F"/>
    <x v="4"/>
    <x v="0"/>
    <s v="California"/>
    <s v="Los Angeles County"/>
    <x v="3"/>
    <x v="10"/>
    <x v="2"/>
  </r>
  <r>
    <s v="TX501911"/>
    <x v="8"/>
    <x v="2"/>
    <n v="19.7"/>
    <n v="59.099999999999994"/>
    <x v="69"/>
    <d v="2025-03-12T00:00:00"/>
    <s v="F"/>
    <x v="4"/>
    <x v="4"/>
    <s v="California"/>
    <s v="Los Angeles County"/>
    <x v="3"/>
    <x v="10"/>
    <x v="2"/>
  </r>
  <r>
    <s v="TX501912"/>
    <x v="1"/>
    <x v="0"/>
    <n v="40.299999999999997"/>
    <n v="40.299999999999997"/>
    <x v="69"/>
    <d v="2025-03-12T00:00:00"/>
    <s v="O"/>
    <x v="1"/>
    <x v="0"/>
    <s v="California"/>
    <s v="Los Angeles County"/>
    <x v="3"/>
    <x v="10"/>
    <x v="3"/>
  </r>
  <r>
    <s v="TX501913"/>
    <x v="6"/>
    <x v="1"/>
    <n v="108.8"/>
    <n v="217.6"/>
    <x v="69"/>
    <d v="2025-03-16T00:00:00"/>
    <s v="M"/>
    <x v="0"/>
    <x v="2"/>
    <s v="California"/>
    <s v="Sacramento County"/>
    <x v="0"/>
    <x v="10"/>
    <x v="1"/>
  </r>
  <r>
    <s v="TX501914"/>
    <x v="8"/>
    <x v="2"/>
    <n v="48.2"/>
    <n v="144.60000000000002"/>
    <x v="69"/>
    <d v="2025-03-16T00:00:00"/>
    <s v="F"/>
    <x v="4"/>
    <x v="0"/>
    <s v="California"/>
    <s v="San Bernardino County"/>
    <x v="0"/>
    <x v="10"/>
    <x v="2"/>
  </r>
  <r>
    <s v="TX501915"/>
    <x v="2"/>
    <x v="2"/>
    <n v="104.7"/>
    <n v="314.10000000000002"/>
    <x v="69"/>
    <d v="2025-03-13T00:00:00"/>
    <s v="F"/>
    <x v="0"/>
    <x v="1"/>
    <s v="California"/>
    <s v="San Bernardino County"/>
    <x v="1"/>
    <x v="10"/>
    <x v="2"/>
  </r>
  <r>
    <s v="TX501916"/>
    <x v="1"/>
    <x v="1"/>
    <n v="80.599999999999994"/>
    <n v="161.19999999999999"/>
    <x v="69"/>
    <d v="2025-03-11T00:00:00"/>
    <s v="F"/>
    <x v="1"/>
    <x v="0"/>
    <s v="California"/>
    <s v="San Diego County"/>
    <x v="7"/>
    <x v="10"/>
    <x v="2"/>
  </r>
  <r>
    <s v="TX501917"/>
    <x v="6"/>
    <x v="0"/>
    <n v="65.5"/>
    <n v="65.5"/>
    <x v="69"/>
    <d v="2025-03-13T00:00:00"/>
    <s v="O"/>
    <x v="1"/>
    <x v="0"/>
    <s v="California"/>
    <s v="San Diego County"/>
    <x v="1"/>
    <x v="10"/>
    <x v="3"/>
  </r>
  <r>
    <s v="TX501918"/>
    <x v="9"/>
    <x v="2"/>
    <n v="61.4"/>
    <n v="184.2"/>
    <x v="69"/>
    <d v="2025-03-13T00:00:00"/>
    <s v="F"/>
    <x v="4"/>
    <x v="2"/>
    <s v="California"/>
    <s v="San Diego County"/>
    <x v="1"/>
    <x v="10"/>
    <x v="2"/>
  </r>
  <r>
    <s v="TX501919"/>
    <x v="0"/>
    <x v="0"/>
    <n v="12.5"/>
    <n v="12.5"/>
    <x v="70"/>
    <d v="2025-03-15T00:00:00"/>
    <s v="F"/>
    <x v="0"/>
    <x v="1"/>
    <s v="California"/>
    <s v="San Diego County"/>
    <x v="2"/>
    <x v="10"/>
    <x v="2"/>
  </r>
  <r>
    <s v="TX501920"/>
    <x v="4"/>
    <x v="12"/>
    <n v="35.1"/>
    <n v="140.4"/>
    <x v="70"/>
    <d v="2025-03-13T00:00:00"/>
    <s v="M"/>
    <x v="2"/>
    <x v="1"/>
    <s v="California"/>
    <s v="San Francisco"/>
    <x v="3"/>
    <x v="10"/>
    <x v="1"/>
  </r>
  <r>
    <s v="TX501921"/>
    <x v="5"/>
    <x v="1"/>
    <n v="55.7"/>
    <n v="111.4"/>
    <x v="70"/>
    <d v="2025-03-13T00:00:00"/>
    <s v="M"/>
    <x v="0"/>
    <x v="1"/>
    <s v="California"/>
    <s v="San Joaquin County"/>
    <x v="3"/>
    <x v="10"/>
    <x v="1"/>
  </r>
  <r>
    <s v="TX501922"/>
    <x v="7"/>
    <x v="1"/>
    <n v="57.7"/>
    <n v="115.4"/>
    <x v="70"/>
    <d v="2025-03-14T00:00:00"/>
    <s v="M"/>
    <x v="4"/>
    <x v="1"/>
    <s v="California"/>
    <s v="San Mateo County"/>
    <x v="1"/>
    <x v="10"/>
    <x v="1"/>
  </r>
  <r>
    <s v="TX501923"/>
    <x v="2"/>
    <x v="13"/>
    <n v="85.7"/>
    <n v="514.20000000000005"/>
    <x v="70"/>
    <d v="2025-03-13T00:00:00"/>
    <s v="M"/>
    <x v="3"/>
    <x v="2"/>
    <s v="California"/>
    <s v="San Mateo County"/>
    <x v="3"/>
    <x v="10"/>
    <x v="1"/>
  </r>
  <r>
    <s v="TX501924"/>
    <x v="2"/>
    <x v="2"/>
    <n v="86.9"/>
    <n v="260.70000000000005"/>
    <x v="70"/>
    <d v="2025-03-14T00:00:00"/>
    <s v="F"/>
    <x v="1"/>
    <x v="0"/>
    <s v="California"/>
    <s v="Santa Clara County"/>
    <x v="1"/>
    <x v="10"/>
    <x v="2"/>
  </r>
  <r>
    <s v="TX501925"/>
    <x v="18"/>
    <x v="1"/>
    <n v="46.4"/>
    <n v="92.8"/>
    <x v="70"/>
    <d v="2025-03-15T00:00:00"/>
    <s v="F"/>
    <x v="4"/>
    <x v="0"/>
    <s v="California"/>
    <s v="Santa Clara County"/>
    <x v="2"/>
    <x v="10"/>
    <x v="2"/>
  </r>
  <r>
    <s v="TX501926"/>
    <x v="5"/>
    <x v="2"/>
    <n v="25.4"/>
    <n v="76.199999999999989"/>
    <x v="70"/>
    <d v="2025-03-12T00:00:00"/>
    <s v="F"/>
    <x v="2"/>
    <x v="2"/>
    <s v="California"/>
    <s v="Sonoma County"/>
    <x v="7"/>
    <x v="10"/>
    <x v="2"/>
  </r>
  <r>
    <s v="TX501927"/>
    <x v="10"/>
    <x v="2"/>
    <n v="47.8"/>
    <n v="143.39999999999998"/>
    <x v="70"/>
    <d v="2025-03-12T00:00:00"/>
    <s v=""/>
    <x v="2"/>
    <x v="2"/>
    <s v="California"/>
    <s v="Stanislaus County"/>
    <x v="7"/>
    <x v="10"/>
    <x v="0"/>
  </r>
  <r>
    <s v="TX501928"/>
    <x v="8"/>
    <x v="10"/>
    <n v="18.399999999999999"/>
    <n v="349.59999999999997"/>
    <x v="70"/>
    <d v="2025-03-14T00:00:00"/>
    <s v="O"/>
    <x v="2"/>
    <x v="0"/>
    <s v="California"/>
    <s v="Tulare County"/>
    <x v="1"/>
    <x v="10"/>
    <x v="3"/>
  </r>
  <r>
    <s v="TX501929"/>
    <x v="12"/>
    <x v="2"/>
    <n v="65.5"/>
    <n v="196.5"/>
    <x v="70"/>
    <d v="2025-03-20T00:00:00"/>
    <s v="F"/>
    <x v="0"/>
    <x v="0"/>
    <s v="California"/>
    <s v="Alameda County"/>
    <x v="9"/>
    <x v="10"/>
    <x v="2"/>
  </r>
  <r>
    <s v="TX501930"/>
    <x v="10"/>
    <x v="1"/>
    <n v="50.6"/>
    <n v="101.2"/>
    <x v="70"/>
    <d v="2025-03-15T00:00:00"/>
    <s v="M"/>
    <x v="2"/>
    <x v="4"/>
    <s v="California"/>
    <s v="Alameda County"/>
    <x v="2"/>
    <x v="10"/>
    <x v="1"/>
  </r>
  <r>
    <s v="TX501931"/>
    <x v="3"/>
    <x v="9"/>
    <n v="69"/>
    <n v="345"/>
    <x v="70"/>
    <d v="2025-03-16T00:00:00"/>
    <s v="M"/>
    <x v="3"/>
    <x v="0"/>
    <s v="California"/>
    <s v="Alameda County"/>
    <x v="5"/>
    <x v="10"/>
    <x v="1"/>
  </r>
  <r>
    <s v="TX501932"/>
    <x v="9"/>
    <x v="8"/>
    <n v="51.1"/>
    <n v="408.8"/>
    <x v="70"/>
    <d v="2025-03-14T00:00:00"/>
    <s v="F"/>
    <x v="0"/>
    <x v="0"/>
    <s v="California"/>
    <s v="Contra Costa County"/>
    <x v="1"/>
    <x v="10"/>
    <x v="2"/>
  </r>
  <r>
    <s v="TX501933"/>
    <x v="9"/>
    <x v="0"/>
    <n v="36.1"/>
    <n v="36.1"/>
    <x v="70"/>
    <d v="2025-03-13T00:00:00"/>
    <s v="F"/>
    <x v="0"/>
    <x v="2"/>
    <s v="California"/>
    <s v="Kings County"/>
    <x v="3"/>
    <x v="10"/>
    <x v="2"/>
  </r>
  <r>
    <s v="TX501934"/>
    <x v="14"/>
    <x v="0"/>
    <n v="18.7"/>
    <n v="18.7"/>
    <x v="70"/>
    <d v="2025-03-13T00:00:00"/>
    <s v="M"/>
    <x v="0"/>
    <x v="0"/>
    <s v="California"/>
    <s v="Los Angeles County"/>
    <x v="3"/>
    <x v="10"/>
    <x v="1"/>
  </r>
  <r>
    <s v="TX501935"/>
    <x v="17"/>
    <x v="0"/>
    <n v="30.1"/>
    <n v="30.1"/>
    <x v="70"/>
    <d v="2025-03-15T00:00:00"/>
    <s v="F"/>
    <x v="3"/>
    <x v="1"/>
    <s v="California"/>
    <s v="Los Angeles County"/>
    <x v="2"/>
    <x v="10"/>
    <x v="2"/>
  </r>
  <r>
    <s v="TX501936"/>
    <x v="8"/>
    <x v="0"/>
    <n v="16.3"/>
    <n v="16.3"/>
    <x v="70"/>
    <d v="2025-03-13T00:00:00"/>
    <s v="M"/>
    <x v="3"/>
    <x v="0"/>
    <s v="California"/>
    <s v="Los Angeles County"/>
    <x v="3"/>
    <x v="10"/>
    <x v="1"/>
  </r>
  <r>
    <s v="TX501937"/>
    <x v="1"/>
    <x v="2"/>
    <n v="63.8"/>
    <n v="191.39999999999998"/>
    <x v="70"/>
    <d v="2025-03-17T00:00:00"/>
    <s v="F"/>
    <x v="2"/>
    <x v="1"/>
    <s v="California"/>
    <s v="Los Angeles County"/>
    <x v="0"/>
    <x v="10"/>
    <x v="2"/>
  </r>
  <r>
    <s v="TX501938"/>
    <x v="1"/>
    <x v="3"/>
    <n v="73.900000000000006"/>
    <n v="517.30000000000007"/>
    <x v="70"/>
    <d v="2025-03-12T00:00:00"/>
    <s v="F"/>
    <x v="0"/>
    <x v="1"/>
    <s v="California"/>
    <s v="Los Angeles County"/>
    <x v="7"/>
    <x v="10"/>
    <x v="2"/>
  </r>
  <r>
    <s v="TX501939"/>
    <x v="0"/>
    <x v="1"/>
    <n v="20.2"/>
    <n v="40.4"/>
    <x v="70"/>
    <d v="2025-03-13T00:00:00"/>
    <s v="M"/>
    <x v="0"/>
    <x v="1"/>
    <s v="California"/>
    <s v="Los Angeles County"/>
    <x v="3"/>
    <x v="10"/>
    <x v="1"/>
  </r>
  <r>
    <s v="TX501940"/>
    <x v="11"/>
    <x v="5"/>
    <n v="29.5"/>
    <n v="324.5"/>
    <x v="70"/>
    <d v="2025-03-13T00:00:00"/>
    <s v="M"/>
    <x v="0"/>
    <x v="0"/>
    <s v="California"/>
    <s v="Los Angeles County"/>
    <x v="3"/>
    <x v="10"/>
    <x v="1"/>
  </r>
  <r>
    <s v="TX501941"/>
    <x v="15"/>
    <x v="3"/>
    <n v="37.9"/>
    <n v="265.3"/>
    <x v="70"/>
    <d v="2025-03-13T00:00:00"/>
    <s v="M"/>
    <x v="1"/>
    <x v="0"/>
    <s v="California"/>
    <s v="Los Angeles County"/>
    <x v="3"/>
    <x v="10"/>
    <x v="1"/>
  </r>
  <r>
    <s v="TX501942"/>
    <x v="2"/>
    <x v="0"/>
    <n v="56.5"/>
    <n v="56.5"/>
    <x v="70"/>
    <d v="2025-03-13T00:00:00"/>
    <s v="F"/>
    <x v="2"/>
    <x v="1"/>
    <s v="California"/>
    <s v="Los Angeles County"/>
    <x v="3"/>
    <x v="10"/>
    <x v="2"/>
  </r>
  <r>
    <s v="TX501943"/>
    <x v="2"/>
    <x v="1"/>
    <n v="66.900000000000006"/>
    <n v="133.80000000000001"/>
    <x v="70"/>
    <d v="2025-03-18T00:00:00"/>
    <s v="M"/>
    <x v="1"/>
    <x v="4"/>
    <s v="California"/>
    <s v="Orange County"/>
    <x v="4"/>
    <x v="10"/>
    <x v="1"/>
  </r>
  <r>
    <s v="TX501944"/>
    <x v="2"/>
    <x v="9"/>
    <n v="51.9"/>
    <n v="259.5"/>
    <x v="70"/>
    <d v="2025-03-15T00:00:00"/>
    <s v="M"/>
    <x v="1"/>
    <x v="0"/>
    <s v="California"/>
    <s v="San Bernardino County"/>
    <x v="2"/>
    <x v="10"/>
    <x v="1"/>
  </r>
  <r>
    <s v="TX501945"/>
    <x v="2"/>
    <x v="1"/>
    <n v="75.599999999999994"/>
    <n v="151.19999999999999"/>
    <x v="70"/>
    <d v="2025-03-15T00:00:00"/>
    <s v="M"/>
    <x v="1"/>
    <x v="0"/>
    <s v="California"/>
    <s v="San Diego County"/>
    <x v="2"/>
    <x v="10"/>
    <x v="1"/>
  </r>
  <r>
    <s v="TX501946"/>
    <x v="12"/>
    <x v="13"/>
    <n v="47.3"/>
    <n v="283.79999999999995"/>
    <x v="70"/>
    <d v="2025-03-23T00:00:00"/>
    <s v="M"/>
    <x v="0"/>
    <x v="0"/>
    <s v="California"/>
    <s v="San Diego County"/>
    <x v="11"/>
    <x v="10"/>
    <x v="1"/>
  </r>
  <r>
    <s v="TX501947"/>
    <x v="4"/>
    <x v="0"/>
    <n v="20.6"/>
    <n v="20.6"/>
    <x v="70"/>
    <d v="2025-03-13T00:00:00"/>
    <s v=""/>
    <x v="0"/>
    <x v="1"/>
    <s v="California"/>
    <s v="San Diego County"/>
    <x v="3"/>
    <x v="10"/>
    <x v="0"/>
  </r>
  <r>
    <s v="TX501948"/>
    <x v="6"/>
    <x v="2"/>
    <n v="49.7"/>
    <n v="149.10000000000002"/>
    <x v="70"/>
    <d v="2025-03-14T00:00:00"/>
    <s v="M"/>
    <x v="0"/>
    <x v="1"/>
    <s v="California"/>
    <s v="San Diego County"/>
    <x v="1"/>
    <x v="10"/>
    <x v="1"/>
  </r>
  <r>
    <s v="TX501949"/>
    <x v="3"/>
    <x v="0"/>
    <n v="37.9"/>
    <n v="37.9"/>
    <x v="70"/>
    <d v="2025-03-14T00:00:00"/>
    <s v="F"/>
    <x v="0"/>
    <x v="0"/>
    <s v="California"/>
    <s v="San Diego County"/>
    <x v="1"/>
    <x v="10"/>
    <x v="2"/>
  </r>
  <r>
    <s v="TX501950"/>
    <x v="13"/>
    <x v="20"/>
    <n v="32"/>
    <n v="480"/>
    <x v="70"/>
    <d v="2025-03-14T00:00:00"/>
    <s v="F"/>
    <x v="4"/>
    <x v="0"/>
    <s v="California"/>
    <s v="Santa Clara County"/>
    <x v="1"/>
    <x v="10"/>
    <x v="2"/>
  </r>
  <r>
    <s v="TX501951"/>
    <x v="10"/>
    <x v="16"/>
    <n v="38.5"/>
    <n v="693"/>
    <x v="71"/>
    <d v="2025-03-14T00:00:00"/>
    <s v="M"/>
    <x v="0"/>
    <x v="2"/>
    <s v="California"/>
    <s v="Santa Clara County"/>
    <x v="3"/>
    <x v="10"/>
    <x v="1"/>
  </r>
  <r>
    <s v="TX501952"/>
    <x v="0"/>
    <x v="12"/>
    <n v="11.7"/>
    <n v="46.8"/>
    <x v="71"/>
    <d v="2025-03-15T00:00:00"/>
    <s v="F"/>
    <x v="1"/>
    <x v="0"/>
    <s v="California"/>
    <s v="Tulare County"/>
    <x v="1"/>
    <x v="10"/>
    <x v="2"/>
  </r>
  <r>
    <s v="TX501953"/>
    <x v="3"/>
    <x v="13"/>
    <n v="83.8"/>
    <n v="502.79999999999995"/>
    <x v="71"/>
    <d v="2025-03-14T00:00:00"/>
    <s v="M"/>
    <x v="0"/>
    <x v="0"/>
    <s v="California"/>
    <s v="Alameda County"/>
    <x v="3"/>
    <x v="10"/>
    <x v="1"/>
  </r>
  <r>
    <s v="TX501954"/>
    <x v="0"/>
    <x v="3"/>
    <n v="14"/>
    <n v="98"/>
    <x v="71"/>
    <d v="2025-03-16T00:00:00"/>
    <s v="M"/>
    <x v="0"/>
    <x v="1"/>
    <s v="California"/>
    <s v="Kern County"/>
    <x v="2"/>
    <x v="10"/>
    <x v="1"/>
  </r>
  <r>
    <s v="TX501955"/>
    <x v="16"/>
    <x v="12"/>
    <n v="77.3"/>
    <n v="309.2"/>
    <x v="71"/>
    <d v="2025-03-15T00:00:00"/>
    <s v="F"/>
    <x v="4"/>
    <x v="2"/>
    <s v="California"/>
    <s v="Los Angeles County"/>
    <x v="1"/>
    <x v="10"/>
    <x v="2"/>
  </r>
  <r>
    <s v="TX501956"/>
    <x v="2"/>
    <x v="1"/>
    <n v="76.900000000000006"/>
    <n v="153.80000000000001"/>
    <x v="71"/>
    <d v="2025-03-17T00:00:00"/>
    <s v="F"/>
    <x v="0"/>
    <x v="1"/>
    <s v="California"/>
    <s v="Los Angeles County"/>
    <x v="5"/>
    <x v="10"/>
    <x v="2"/>
  </r>
  <r>
    <s v="TX501957"/>
    <x v="1"/>
    <x v="0"/>
    <n v="48"/>
    <n v="48"/>
    <x v="71"/>
    <d v="2025-03-15T00:00:00"/>
    <s v="F"/>
    <x v="1"/>
    <x v="2"/>
    <s v="California"/>
    <s v="Los Angeles County"/>
    <x v="1"/>
    <x v="10"/>
    <x v="2"/>
  </r>
  <r>
    <s v="TX501958"/>
    <x v="2"/>
    <x v="0"/>
    <n v="94.5"/>
    <n v="94.5"/>
    <x v="71"/>
    <d v="2025-03-16T00:00:00"/>
    <s v="M"/>
    <x v="1"/>
    <x v="1"/>
    <s v="California"/>
    <s v="Los Angeles County"/>
    <x v="2"/>
    <x v="10"/>
    <x v="1"/>
  </r>
  <r>
    <s v="TX501959"/>
    <x v="10"/>
    <x v="2"/>
    <n v="58.4"/>
    <n v="175.2"/>
    <x v="71"/>
    <d v="2025-03-15T00:00:00"/>
    <s v="F"/>
    <x v="1"/>
    <x v="2"/>
    <s v="California"/>
    <s v="Los Angeles County"/>
    <x v="1"/>
    <x v="10"/>
    <x v="2"/>
  </r>
  <r>
    <s v="TX501960"/>
    <x v="7"/>
    <x v="15"/>
    <n v="42.2"/>
    <n v="548.6"/>
    <x v="71"/>
    <d v="2025-03-13T00:00:00"/>
    <s v="M"/>
    <x v="0"/>
    <x v="0"/>
    <s v="California"/>
    <s v="Orange County"/>
    <x v="7"/>
    <x v="10"/>
    <x v="1"/>
  </r>
  <r>
    <s v="TX501961"/>
    <x v="6"/>
    <x v="1"/>
    <n v="152.19999999999999"/>
    <n v="304.39999999999998"/>
    <x v="71"/>
    <d v="2025-03-14T00:00:00"/>
    <s v="M"/>
    <x v="4"/>
    <x v="1"/>
    <s v="California"/>
    <s v="Orange County"/>
    <x v="3"/>
    <x v="10"/>
    <x v="1"/>
  </r>
  <r>
    <s v="TX501962"/>
    <x v="6"/>
    <x v="25"/>
    <n v="72"/>
    <n v="1728"/>
    <x v="71"/>
    <d v="2025-03-14T00:00:00"/>
    <s v="M"/>
    <x v="0"/>
    <x v="1"/>
    <s v="California"/>
    <s v="Sacramento County"/>
    <x v="3"/>
    <x v="10"/>
    <x v="1"/>
  </r>
  <r>
    <s v="TX501963"/>
    <x v="1"/>
    <x v="44"/>
    <n v="70.900000000000006"/>
    <n v="1630.7"/>
    <x v="71"/>
    <d v="2025-03-14T00:00:00"/>
    <s v="F"/>
    <x v="2"/>
    <x v="0"/>
    <s v="California"/>
    <s v="San Diego County"/>
    <x v="3"/>
    <x v="10"/>
    <x v="2"/>
  </r>
  <r>
    <s v="TX501964"/>
    <x v="2"/>
    <x v="1"/>
    <n v="53.7"/>
    <n v="107.4"/>
    <x v="71"/>
    <d v="2025-03-14T00:00:00"/>
    <s v="M"/>
    <x v="2"/>
    <x v="2"/>
    <s v="California"/>
    <s v="San Diego County"/>
    <x v="3"/>
    <x v="10"/>
    <x v="1"/>
  </r>
  <r>
    <s v="TX501965"/>
    <x v="9"/>
    <x v="12"/>
    <n v="42.9"/>
    <n v="171.6"/>
    <x v="71"/>
    <d v="2025-03-14T00:00:00"/>
    <s v="F"/>
    <x v="2"/>
    <x v="4"/>
    <s v="California"/>
    <s v="San Mateo County"/>
    <x v="3"/>
    <x v="10"/>
    <x v="2"/>
  </r>
  <r>
    <s v="TX501966"/>
    <x v="2"/>
    <x v="3"/>
    <n v="107.5"/>
    <n v="752.5"/>
    <x v="71"/>
    <d v="2025-03-14T00:00:00"/>
    <s v="M"/>
    <x v="1"/>
    <x v="0"/>
    <s v="California"/>
    <s v="Santa Clara County"/>
    <x v="3"/>
    <x v="10"/>
    <x v="1"/>
  </r>
  <r>
    <s v="TX501967"/>
    <x v="17"/>
    <x v="27"/>
    <n v="21.5"/>
    <n v="344"/>
    <x v="71"/>
    <d v="2025-03-14T00:00:00"/>
    <s v="M"/>
    <x v="1"/>
    <x v="1"/>
    <s v="California"/>
    <s v="Santa Cruz County"/>
    <x v="3"/>
    <x v="10"/>
    <x v="1"/>
  </r>
  <r>
    <s v="TX501968"/>
    <x v="3"/>
    <x v="9"/>
    <n v="85.3"/>
    <n v="426.5"/>
    <x v="71"/>
    <d v="2025-03-15T00:00:00"/>
    <s v="F"/>
    <x v="3"/>
    <x v="0"/>
    <s v="California"/>
    <s v="Sonoma County"/>
    <x v="1"/>
    <x v="10"/>
    <x v="2"/>
  </r>
  <r>
    <s v="TX501969"/>
    <x v="7"/>
    <x v="9"/>
    <n v="80.8"/>
    <n v="404"/>
    <x v="71"/>
    <d v="2025-03-21T00:00:00"/>
    <s v="O"/>
    <x v="1"/>
    <x v="1"/>
    <s v="California"/>
    <s v="Stanislaus County"/>
    <x v="9"/>
    <x v="10"/>
    <x v="3"/>
  </r>
  <r>
    <s v="TX501970"/>
    <x v="2"/>
    <x v="2"/>
    <n v="123.1"/>
    <n v="369.29999999999995"/>
    <x v="71"/>
    <d v="2025-03-15T00:00:00"/>
    <s v=""/>
    <x v="2"/>
    <x v="0"/>
    <s v="California"/>
    <s v="Alameda County"/>
    <x v="1"/>
    <x v="10"/>
    <x v="0"/>
  </r>
  <r>
    <s v="TX501971"/>
    <x v="8"/>
    <x v="1"/>
    <n v="36.9"/>
    <n v="73.8"/>
    <x v="71"/>
    <d v="2025-03-15T00:00:00"/>
    <s v="F"/>
    <x v="2"/>
    <x v="4"/>
    <s v="California"/>
    <s v="Butte County"/>
    <x v="1"/>
    <x v="10"/>
    <x v="2"/>
  </r>
  <r>
    <s v="TX501972"/>
    <x v="11"/>
    <x v="9"/>
    <n v="40"/>
    <n v="200"/>
    <x v="71"/>
    <d v="2025-03-14T00:00:00"/>
    <s v="M"/>
    <x v="0"/>
    <x v="0"/>
    <s v="California"/>
    <s v="Contra Costa County"/>
    <x v="3"/>
    <x v="10"/>
    <x v="1"/>
  </r>
  <r>
    <s v="TX501973"/>
    <x v="6"/>
    <x v="2"/>
    <n v="55.5"/>
    <n v="166.5"/>
    <x v="71"/>
    <d v="2025-03-14T00:00:00"/>
    <s v="M"/>
    <x v="4"/>
    <x v="2"/>
    <s v="California"/>
    <s v="Contra Costa County"/>
    <x v="3"/>
    <x v="10"/>
    <x v="1"/>
  </r>
  <r>
    <s v="TX501974"/>
    <x v="0"/>
    <x v="12"/>
    <n v="20.5"/>
    <n v="82"/>
    <x v="71"/>
    <d v="2025-03-17T00:00:00"/>
    <s v="F"/>
    <x v="4"/>
    <x v="0"/>
    <s v="California"/>
    <s v="Contra Costa County"/>
    <x v="5"/>
    <x v="10"/>
    <x v="2"/>
  </r>
  <r>
    <s v="TX501975"/>
    <x v="18"/>
    <x v="12"/>
    <n v="50.1"/>
    <n v="200.4"/>
    <x v="71"/>
    <d v="2025-03-14T00:00:00"/>
    <s v="F"/>
    <x v="4"/>
    <x v="0"/>
    <s v="California"/>
    <s v="Contra Costa County"/>
    <x v="3"/>
    <x v="10"/>
    <x v="2"/>
  </r>
  <r>
    <s v="TX501976"/>
    <x v="9"/>
    <x v="0"/>
    <n v="35.9"/>
    <n v="35.9"/>
    <x v="71"/>
    <d v="2025-03-15T00:00:00"/>
    <s v="M"/>
    <x v="1"/>
    <x v="2"/>
    <s v="California"/>
    <s v="Contra Costa County"/>
    <x v="1"/>
    <x v="10"/>
    <x v="1"/>
  </r>
  <r>
    <s v="TX501977"/>
    <x v="13"/>
    <x v="12"/>
    <n v="29.4"/>
    <n v="117.6"/>
    <x v="72"/>
    <d v="2025-03-15T00:00:00"/>
    <s v="M"/>
    <x v="2"/>
    <x v="2"/>
    <s v="California"/>
    <s v="Imperial County"/>
    <x v="3"/>
    <x v="10"/>
    <x v="1"/>
  </r>
  <r>
    <s v="TX501978"/>
    <x v="8"/>
    <x v="9"/>
    <n v="29.1"/>
    <n v="145.5"/>
    <x v="72"/>
    <d v="2025-03-22T00:00:00"/>
    <s v="O"/>
    <x v="2"/>
    <x v="1"/>
    <s v="California"/>
    <s v="Imperial County"/>
    <x v="9"/>
    <x v="10"/>
    <x v="3"/>
  </r>
  <r>
    <s v="TX501979"/>
    <x v="8"/>
    <x v="2"/>
    <n v="33.5"/>
    <n v="100.5"/>
    <x v="72"/>
    <d v="2025-03-26T00:00:00"/>
    <s v="M"/>
    <x v="0"/>
    <x v="2"/>
    <s v="California"/>
    <s v="Kern County"/>
    <x v="13"/>
    <x v="10"/>
    <x v="1"/>
  </r>
  <r>
    <s v="TX501980"/>
    <x v="4"/>
    <x v="7"/>
    <n v="36"/>
    <n v="360"/>
    <x v="72"/>
    <d v="2025-03-14T00:00:00"/>
    <s v="M"/>
    <x v="3"/>
    <x v="2"/>
    <s v="California"/>
    <s v="Los Angeles County"/>
    <x v="7"/>
    <x v="10"/>
    <x v="1"/>
  </r>
  <r>
    <s v="TX501981"/>
    <x v="16"/>
    <x v="2"/>
    <n v="57.3"/>
    <n v="171.89999999999998"/>
    <x v="72"/>
    <d v="2025-03-18T00:00:00"/>
    <s v="F"/>
    <x v="0"/>
    <x v="2"/>
    <s v="California"/>
    <s v="Los Angeles County"/>
    <x v="5"/>
    <x v="10"/>
    <x v="2"/>
  </r>
  <r>
    <s v="TX501982"/>
    <x v="1"/>
    <x v="0"/>
    <n v="81.400000000000006"/>
    <n v="81.400000000000006"/>
    <x v="72"/>
    <d v="2025-03-15T00:00:00"/>
    <s v="F"/>
    <x v="2"/>
    <x v="2"/>
    <s v="California"/>
    <s v="Los Angeles County"/>
    <x v="3"/>
    <x v="10"/>
    <x v="2"/>
  </r>
  <r>
    <s v="TX501983"/>
    <x v="10"/>
    <x v="1"/>
    <n v="35.299999999999997"/>
    <n v="70.599999999999994"/>
    <x v="72"/>
    <d v="2025-03-18T00:00:00"/>
    <s v="M"/>
    <x v="0"/>
    <x v="2"/>
    <s v="California"/>
    <s v="Los Angeles County"/>
    <x v="5"/>
    <x v="10"/>
    <x v="1"/>
  </r>
  <r>
    <s v="TX501984"/>
    <x v="3"/>
    <x v="0"/>
    <n v="36.1"/>
    <n v="36.1"/>
    <x v="72"/>
    <d v="2025-03-15T00:00:00"/>
    <s v="F"/>
    <x v="4"/>
    <x v="0"/>
    <s v="California"/>
    <s v="Los Angeles County"/>
    <x v="3"/>
    <x v="10"/>
    <x v="2"/>
  </r>
  <r>
    <s v="TX501985"/>
    <x v="1"/>
    <x v="1"/>
    <n v="36.700000000000003"/>
    <n v="73.400000000000006"/>
    <x v="72"/>
    <d v="2025-03-16T00:00:00"/>
    <s v="F"/>
    <x v="0"/>
    <x v="2"/>
    <s v="California"/>
    <s v="Los Angeles County"/>
    <x v="1"/>
    <x v="10"/>
    <x v="2"/>
  </r>
  <r>
    <s v="TX501986"/>
    <x v="10"/>
    <x v="0"/>
    <n v="20.9"/>
    <n v="20.9"/>
    <x v="72"/>
    <d v="2025-03-16T00:00:00"/>
    <s v="F"/>
    <x v="0"/>
    <x v="4"/>
    <s v="California"/>
    <s v="Los Angeles County"/>
    <x v="1"/>
    <x v="10"/>
    <x v="2"/>
  </r>
  <r>
    <s v="TX501987"/>
    <x v="12"/>
    <x v="2"/>
    <n v="58.8"/>
    <n v="176.39999999999998"/>
    <x v="72"/>
    <d v="2025-03-18T00:00:00"/>
    <s v="M"/>
    <x v="0"/>
    <x v="2"/>
    <s v="California"/>
    <s v="Orange County"/>
    <x v="5"/>
    <x v="10"/>
    <x v="1"/>
  </r>
  <r>
    <s v="TX501988"/>
    <x v="2"/>
    <x v="2"/>
    <n v="97.6"/>
    <n v="292.79999999999995"/>
    <x v="73"/>
    <d v="2025-03-17T00:00:00"/>
    <s v=""/>
    <x v="0"/>
    <x v="0"/>
    <s v="California"/>
    <s v="Sacramento County"/>
    <x v="1"/>
    <x v="10"/>
    <x v="0"/>
  </r>
  <r>
    <s v="TX501989"/>
    <x v="1"/>
    <x v="1"/>
    <n v="58.7"/>
    <n v="117.4"/>
    <x v="73"/>
    <d v="2025-03-18T00:00:00"/>
    <s v="F"/>
    <x v="0"/>
    <x v="1"/>
    <s v="California"/>
    <s v="Sacramento County"/>
    <x v="2"/>
    <x v="10"/>
    <x v="2"/>
  </r>
  <r>
    <s v="TX501990"/>
    <x v="6"/>
    <x v="9"/>
    <n v="71.900000000000006"/>
    <n v="359.5"/>
    <x v="73"/>
    <d v="2025-03-16T00:00:00"/>
    <s v=""/>
    <x v="0"/>
    <x v="1"/>
    <s v="California"/>
    <s v="Sacramento County"/>
    <x v="3"/>
    <x v="10"/>
    <x v="0"/>
  </r>
  <r>
    <s v="TX501991"/>
    <x v="1"/>
    <x v="1"/>
    <n v="62.4"/>
    <n v="124.8"/>
    <x v="73"/>
    <d v="2025-03-17T00:00:00"/>
    <s v=""/>
    <x v="0"/>
    <x v="1"/>
    <s v="California"/>
    <s v="San Diego County"/>
    <x v="1"/>
    <x v="10"/>
    <x v="0"/>
  </r>
  <r>
    <s v="TX501992"/>
    <x v="6"/>
    <x v="27"/>
    <n v="53.8"/>
    <n v="860.8"/>
    <x v="73"/>
    <d v="2025-03-16T00:00:00"/>
    <s v="F"/>
    <x v="1"/>
    <x v="0"/>
    <s v="California"/>
    <s v="San Diego County"/>
    <x v="3"/>
    <x v="10"/>
    <x v="2"/>
  </r>
  <r>
    <s v="TX501993"/>
    <x v="9"/>
    <x v="0"/>
    <n v="43.8"/>
    <n v="43.8"/>
    <x v="73"/>
    <d v="2025-03-22T00:00:00"/>
    <s v="F"/>
    <x v="0"/>
    <x v="2"/>
    <s v="California"/>
    <s v="San Diego County"/>
    <x v="6"/>
    <x v="10"/>
    <x v="2"/>
  </r>
  <r>
    <s v="TX501994"/>
    <x v="5"/>
    <x v="2"/>
    <n v="53.6"/>
    <n v="160.80000000000001"/>
    <x v="73"/>
    <d v="2025-03-16T00:00:00"/>
    <s v="M"/>
    <x v="3"/>
    <x v="0"/>
    <s v="California"/>
    <s v="San Diego County"/>
    <x v="3"/>
    <x v="10"/>
    <x v="1"/>
  </r>
  <r>
    <s v="TX501995"/>
    <x v="12"/>
    <x v="1"/>
    <n v="84.3"/>
    <n v="168.6"/>
    <x v="73"/>
    <d v="2025-03-18T00:00:00"/>
    <s v="M"/>
    <x v="4"/>
    <x v="1"/>
    <s v="California"/>
    <s v="San Diego County"/>
    <x v="2"/>
    <x v="10"/>
    <x v="1"/>
  </r>
  <r>
    <s v="TX501996"/>
    <x v="6"/>
    <x v="11"/>
    <n v="117.9"/>
    <n v="1061.1000000000001"/>
    <x v="73"/>
    <d v="2025-03-16T00:00:00"/>
    <s v="F"/>
    <x v="1"/>
    <x v="2"/>
    <s v="California"/>
    <s v="San Diego County"/>
    <x v="3"/>
    <x v="10"/>
    <x v="2"/>
  </r>
  <r>
    <s v="TX501997"/>
    <x v="4"/>
    <x v="8"/>
    <n v="30"/>
    <n v="240"/>
    <x v="73"/>
    <d v="2025-03-16T00:00:00"/>
    <s v="F"/>
    <x v="1"/>
    <x v="0"/>
    <s v="California"/>
    <s v="San Joaquin County"/>
    <x v="3"/>
    <x v="10"/>
    <x v="2"/>
  </r>
  <r>
    <s v="TX501998"/>
    <x v="14"/>
    <x v="2"/>
    <n v="37.299999999999997"/>
    <n v="111.89999999999999"/>
    <x v="73"/>
    <d v="2025-03-16T00:00:00"/>
    <s v="M"/>
    <x v="2"/>
    <x v="0"/>
    <s v="California"/>
    <s v="San Mateo County"/>
    <x v="3"/>
    <x v="10"/>
    <x v="1"/>
  </r>
  <r>
    <s v="TX501999"/>
    <x v="4"/>
    <x v="11"/>
    <n v="25.1"/>
    <n v="225.9"/>
    <x v="73"/>
    <d v="2025-03-17T00:00:00"/>
    <s v="M"/>
    <x v="1"/>
    <x v="2"/>
    <s v="California"/>
    <s v="Santa Clara County"/>
    <x v="1"/>
    <x v="10"/>
    <x v="1"/>
  </r>
  <r>
    <s v="TX502000"/>
    <x v="8"/>
    <x v="5"/>
    <n v="36"/>
    <n v="396"/>
    <x v="73"/>
    <d v="2025-03-25T00:00:00"/>
    <s v="M"/>
    <x v="1"/>
    <x v="0"/>
    <s v="California"/>
    <s v="Sonoma County"/>
    <x v="14"/>
    <x v="10"/>
    <x v="1"/>
  </r>
  <r>
    <s v="TX502001"/>
    <x v="16"/>
    <x v="2"/>
    <n v="48.5"/>
    <n v="145.5"/>
    <x v="73"/>
    <d v="2025-03-19T00:00:00"/>
    <s v="F"/>
    <x v="1"/>
    <x v="0"/>
    <s v="California"/>
    <s v="Stanislaus County"/>
    <x v="5"/>
    <x v="10"/>
    <x v="2"/>
  </r>
  <r>
    <s v="TX502002"/>
    <x v="17"/>
    <x v="13"/>
    <n v="21.1"/>
    <n v="126.60000000000001"/>
    <x v="73"/>
    <d v="2025-03-16T00:00:00"/>
    <s v="M"/>
    <x v="1"/>
    <x v="2"/>
    <s v="California"/>
    <s v="Alameda County"/>
    <x v="3"/>
    <x v="10"/>
    <x v="1"/>
  </r>
  <r>
    <s v="TX502003"/>
    <x v="15"/>
    <x v="21"/>
    <n v="43.2"/>
    <n v="604.80000000000007"/>
    <x v="73"/>
    <d v="2025-03-16T00:00:00"/>
    <s v="O"/>
    <x v="0"/>
    <x v="1"/>
    <s v="California"/>
    <s v="Alameda County"/>
    <x v="3"/>
    <x v="10"/>
    <x v="3"/>
  </r>
  <r>
    <s v="TX502004"/>
    <x v="9"/>
    <x v="1"/>
    <n v="21.1"/>
    <n v="42.2"/>
    <x v="73"/>
    <d v="2025-03-16T00:00:00"/>
    <s v=""/>
    <x v="3"/>
    <x v="1"/>
    <s v="California"/>
    <s v="Alameda County"/>
    <x v="3"/>
    <x v="10"/>
    <x v="0"/>
  </r>
  <r>
    <s v="TX502005"/>
    <x v="6"/>
    <x v="12"/>
    <n v="41.3"/>
    <n v="165.2"/>
    <x v="73"/>
    <d v="2025-03-17T00:00:00"/>
    <s v="F"/>
    <x v="3"/>
    <x v="2"/>
    <s v="California"/>
    <s v="Contra Costa County"/>
    <x v="1"/>
    <x v="10"/>
    <x v="2"/>
  </r>
  <r>
    <s v="TX502006"/>
    <x v="8"/>
    <x v="1"/>
    <n v="15.3"/>
    <n v="30.6"/>
    <x v="73"/>
    <d v="2025-03-18T00:00:00"/>
    <s v=""/>
    <x v="2"/>
    <x v="2"/>
    <s v="California"/>
    <s v="Contra Costa County"/>
    <x v="2"/>
    <x v="10"/>
    <x v="0"/>
  </r>
  <r>
    <s v="TX502007"/>
    <x v="1"/>
    <x v="0"/>
    <n v="54.6"/>
    <n v="54.6"/>
    <x v="73"/>
    <d v="2025-03-17T00:00:00"/>
    <s v="M"/>
    <x v="1"/>
    <x v="1"/>
    <s v="California"/>
    <s v="Fresno County"/>
    <x v="1"/>
    <x v="10"/>
    <x v="1"/>
  </r>
  <r>
    <s v="TX502008"/>
    <x v="8"/>
    <x v="0"/>
    <n v="15.9"/>
    <n v="15.9"/>
    <x v="73"/>
    <d v="2025-03-16T00:00:00"/>
    <s v="M"/>
    <x v="0"/>
    <x v="1"/>
    <s v="California"/>
    <s v="Kern County"/>
    <x v="3"/>
    <x v="10"/>
    <x v="1"/>
  </r>
  <r>
    <s v="TX502009"/>
    <x v="9"/>
    <x v="0"/>
    <n v="50.2"/>
    <n v="50.2"/>
    <x v="73"/>
    <d v="2025-03-17T00:00:00"/>
    <s v="F"/>
    <x v="3"/>
    <x v="2"/>
    <s v="California"/>
    <s v="Kings County"/>
    <x v="1"/>
    <x v="10"/>
    <x v="2"/>
  </r>
  <r>
    <s v="TX502010"/>
    <x v="11"/>
    <x v="12"/>
    <n v="85.1"/>
    <n v="340.4"/>
    <x v="73"/>
    <d v="2025-03-16T00:00:00"/>
    <s v="F"/>
    <x v="3"/>
    <x v="4"/>
    <s v="California"/>
    <s v="Kings County"/>
    <x v="3"/>
    <x v="10"/>
    <x v="2"/>
  </r>
  <r>
    <s v="TX502011"/>
    <x v="11"/>
    <x v="1"/>
    <n v="41.4"/>
    <n v="82.8"/>
    <x v="73"/>
    <d v="2025-03-16T00:00:00"/>
    <s v="F"/>
    <x v="0"/>
    <x v="2"/>
    <s v="California"/>
    <s v="Los Angeles County"/>
    <x v="3"/>
    <x v="10"/>
    <x v="2"/>
  </r>
  <r>
    <s v="TX502012"/>
    <x v="4"/>
    <x v="3"/>
    <n v="32.700000000000003"/>
    <n v="228.90000000000003"/>
    <x v="73"/>
    <d v="2025-03-16T00:00:00"/>
    <s v="F"/>
    <x v="2"/>
    <x v="1"/>
    <s v="California"/>
    <s v="Los Angeles County"/>
    <x v="3"/>
    <x v="10"/>
    <x v="2"/>
  </r>
  <r>
    <s v="TX502013"/>
    <x v="4"/>
    <x v="1"/>
    <n v="41.6"/>
    <n v="83.2"/>
    <x v="73"/>
    <d v="2025-03-17T00:00:00"/>
    <s v="M"/>
    <x v="4"/>
    <x v="1"/>
    <s v="California"/>
    <s v="Los Angeles County"/>
    <x v="1"/>
    <x v="10"/>
    <x v="1"/>
  </r>
  <r>
    <s v="TX502014"/>
    <x v="5"/>
    <x v="12"/>
    <n v="64.8"/>
    <n v="259.2"/>
    <x v="73"/>
    <d v="2025-03-16T00:00:00"/>
    <s v=""/>
    <x v="2"/>
    <x v="0"/>
    <s v="California"/>
    <s v="Los Angeles County"/>
    <x v="3"/>
    <x v="10"/>
    <x v="0"/>
  </r>
  <r>
    <s v="TX502015"/>
    <x v="15"/>
    <x v="1"/>
    <n v="33.6"/>
    <n v="67.2"/>
    <x v="73"/>
    <d v="2025-03-16T00:00:00"/>
    <s v="M"/>
    <x v="0"/>
    <x v="2"/>
    <s v="California"/>
    <s v="Los Angeles County"/>
    <x v="3"/>
    <x v="10"/>
    <x v="1"/>
  </r>
  <r>
    <s v="TX502016"/>
    <x v="6"/>
    <x v="2"/>
    <n v="100.7"/>
    <n v="302.10000000000002"/>
    <x v="73"/>
    <d v="2025-03-16T00:00:00"/>
    <s v=""/>
    <x v="1"/>
    <x v="0"/>
    <s v="California"/>
    <s v="Los Angeles County"/>
    <x v="3"/>
    <x v="10"/>
    <x v="0"/>
  </r>
  <r>
    <s v="TX502017"/>
    <x v="4"/>
    <x v="1"/>
    <n v="49.3"/>
    <n v="98.6"/>
    <x v="74"/>
    <d v="2025-03-18T00:00:00"/>
    <s v="F"/>
    <x v="4"/>
    <x v="2"/>
    <s v="California"/>
    <s v="Los Angeles County"/>
    <x v="1"/>
    <x v="11"/>
    <x v="2"/>
  </r>
  <r>
    <s v="TX502018"/>
    <x v="2"/>
    <x v="13"/>
    <n v="97"/>
    <n v="582"/>
    <x v="74"/>
    <d v="2025-03-19T00:00:00"/>
    <s v="M"/>
    <x v="2"/>
    <x v="2"/>
    <s v="California"/>
    <s v="Los Angeles County"/>
    <x v="2"/>
    <x v="11"/>
    <x v="1"/>
  </r>
  <r>
    <s v="TX502019"/>
    <x v="0"/>
    <x v="13"/>
    <n v="25.2"/>
    <n v="151.19999999999999"/>
    <x v="74"/>
    <d v="2025-03-19T00:00:00"/>
    <s v="F"/>
    <x v="4"/>
    <x v="2"/>
    <s v="California"/>
    <s v="Los Angeles County"/>
    <x v="2"/>
    <x v="11"/>
    <x v="2"/>
  </r>
  <r>
    <s v="TX502020"/>
    <x v="0"/>
    <x v="5"/>
    <n v="12.2"/>
    <n v="134.19999999999999"/>
    <x v="74"/>
    <d v="2025-03-17T00:00:00"/>
    <s v=""/>
    <x v="0"/>
    <x v="1"/>
    <s v="California"/>
    <s v="Los Angeles County"/>
    <x v="3"/>
    <x v="11"/>
    <x v="0"/>
  </r>
  <r>
    <s v="TX502021"/>
    <x v="8"/>
    <x v="3"/>
    <n v="38.799999999999997"/>
    <n v="271.59999999999997"/>
    <x v="74"/>
    <d v="2025-03-18T00:00:00"/>
    <s v="F"/>
    <x v="1"/>
    <x v="1"/>
    <s v="California"/>
    <s v="Riverside County"/>
    <x v="1"/>
    <x v="11"/>
    <x v="2"/>
  </r>
  <r>
    <s v="TX502022"/>
    <x v="2"/>
    <x v="12"/>
    <n v="53.2"/>
    <n v="212.8"/>
    <x v="74"/>
    <d v="2025-03-17T00:00:00"/>
    <s v="M"/>
    <x v="0"/>
    <x v="2"/>
    <s v="California"/>
    <s v="San Diego County"/>
    <x v="3"/>
    <x v="11"/>
    <x v="1"/>
  </r>
  <r>
    <s v="TX502023"/>
    <x v="6"/>
    <x v="3"/>
    <n v="151"/>
    <n v="1057"/>
    <x v="74"/>
    <d v="2025-03-17T00:00:00"/>
    <s v="O"/>
    <x v="1"/>
    <x v="1"/>
    <s v="California"/>
    <s v="San Diego County"/>
    <x v="3"/>
    <x v="11"/>
    <x v="3"/>
  </r>
  <r>
    <s v="TX502024"/>
    <x v="1"/>
    <x v="1"/>
    <n v="37.1"/>
    <n v="74.2"/>
    <x v="74"/>
    <d v="2025-03-17T00:00:00"/>
    <s v="F"/>
    <x v="4"/>
    <x v="0"/>
    <s v="California"/>
    <s v="San Diego County"/>
    <x v="3"/>
    <x v="11"/>
    <x v="2"/>
  </r>
  <r>
    <s v="TX502025"/>
    <x v="5"/>
    <x v="1"/>
    <n v="38.9"/>
    <n v="77.8"/>
    <x v="74"/>
    <d v="2025-03-17T00:00:00"/>
    <s v="M"/>
    <x v="4"/>
    <x v="0"/>
    <s v="California"/>
    <s v="San Diego County"/>
    <x v="3"/>
    <x v="11"/>
    <x v="1"/>
  </r>
  <r>
    <s v="TX502026"/>
    <x v="10"/>
    <x v="1"/>
    <n v="35.200000000000003"/>
    <n v="70.400000000000006"/>
    <x v="74"/>
    <d v="2025-03-17T00:00:00"/>
    <s v="M"/>
    <x v="0"/>
    <x v="2"/>
    <s v="California"/>
    <s v="San Francisco"/>
    <x v="3"/>
    <x v="11"/>
    <x v="1"/>
  </r>
  <r>
    <s v="TX502027"/>
    <x v="0"/>
    <x v="1"/>
    <n v="22.3"/>
    <n v="44.6"/>
    <x v="74"/>
    <d v="2025-03-18T00:00:00"/>
    <s v="F"/>
    <x v="1"/>
    <x v="0"/>
    <s v="California"/>
    <s v="San Mateo County"/>
    <x v="1"/>
    <x v="11"/>
    <x v="2"/>
  </r>
  <r>
    <s v="TX502028"/>
    <x v="9"/>
    <x v="0"/>
    <n v="43.3"/>
    <n v="43.3"/>
    <x v="74"/>
    <d v="2025-03-19T00:00:00"/>
    <s v="F"/>
    <x v="0"/>
    <x v="2"/>
    <s v="California"/>
    <s v="Santa Clara County"/>
    <x v="2"/>
    <x v="11"/>
    <x v="2"/>
  </r>
  <r>
    <s v="TX502029"/>
    <x v="6"/>
    <x v="13"/>
    <n v="75.900000000000006"/>
    <n v="455.40000000000003"/>
    <x v="74"/>
    <d v="2025-03-22T00:00:00"/>
    <s v="M"/>
    <x v="0"/>
    <x v="0"/>
    <s v="California"/>
    <s v="Santa Clara County"/>
    <x v="4"/>
    <x v="11"/>
    <x v="1"/>
  </r>
  <r>
    <s v="TX502030"/>
    <x v="6"/>
    <x v="2"/>
    <n v="78.7"/>
    <n v="236.10000000000002"/>
    <x v="74"/>
    <d v="2025-03-20T00:00:00"/>
    <s v="F"/>
    <x v="2"/>
    <x v="1"/>
    <s v="California"/>
    <s v="Santa Clara County"/>
    <x v="5"/>
    <x v="11"/>
    <x v="2"/>
  </r>
  <r>
    <s v="TX502031"/>
    <x v="1"/>
    <x v="0"/>
    <n v="66.3"/>
    <n v="66.3"/>
    <x v="74"/>
    <d v="2025-03-20T00:00:00"/>
    <s v="F"/>
    <x v="0"/>
    <x v="2"/>
    <s v="California"/>
    <s v="Stanislaus County"/>
    <x v="5"/>
    <x v="11"/>
    <x v="2"/>
  </r>
  <r>
    <s v="TX502032"/>
    <x v="8"/>
    <x v="1"/>
    <n v="33.6"/>
    <n v="67.2"/>
    <x v="74"/>
    <d v="2025-03-16T00:00:00"/>
    <s v="M"/>
    <x v="0"/>
    <x v="1"/>
    <s v="California"/>
    <s v="Stanislaus County"/>
    <x v="7"/>
    <x v="11"/>
    <x v="1"/>
  </r>
  <r>
    <s v="TX502033"/>
    <x v="2"/>
    <x v="3"/>
    <n v="61.4"/>
    <n v="429.8"/>
    <x v="74"/>
    <d v="2025-03-17T00:00:00"/>
    <s v="M"/>
    <x v="4"/>
    <x v="0"/>
    <s v="California"/>
    <s v="Stanislaus County"/>
    <x v="3"/>
    <x v="11"/>
    <x v="1"/>
  </r>
  <r>
    <s v="TX502034"/>
    <x v="8"/>
    <x v="1"/>
    <n v="17.5"/>
    <n v="35"/>
    <x v="74"/>
    <d v="2025-03-19T00:00:00"/>
    <s v="F"/>
    <x v="0"/>
    <x v="0"/>
    <s v="California"/>
    <s v="Alameda County"/>
    <x v="2"/>
    <x v="11"/>
    <x v="2"/>
  </r>
  <r>
    <s v="TX502035"/>
    <x v="8"/>
    <x v="1"/>
    <n v="32.5"/>
    <n v="65"/>
    <x v="74"/>
    <d v="2025-03-19T00:00:00"/>
    <s v="F"/>
    <x v="1"/>
    <x v="0"/>
    <s v="California"/>
    <s v="Alameda County"/>
    <x v="2"/>
    <x v="11"/>
    <x v="2"/>
  </r>
  <r>
    <s v="TX502036"/>
    <x v="4"/>
    <x v="0"/>
    <n v="34.6"/>
    <n v="34.6"/>
    <x v="74"/>
    <d v="2025-03-17T00:00:00"/>
    <s v="F"/>
    <x v="4"/>
    <x v="0"/>
    <s v="California"/>
    <s v="Alameda County"/>
    <x v="3"/>
    <x v="11"/>
    <x v="2"/>
  </r>
  <r>
    <s v="TX502037"/>
    <x v="2"/>
    <x v="0"/>
    <n v="75.900000000000006"/>
    <n v="75.900000000000006"/>
    <x v="74"/>
    <d v="2025-03-16T00:00:00"/>
    <s v="M"/>
    <x v="1"/>
    <x v="2"/>
    <s v="California"/>
    <s v="Alameda County"/>
    <x v="7"/>
    <x v="11"/>
    <x v="1"/>
  </r>
  <r>
    <s v="TX502038"/>
    <x v="1"/>
    <x v="2"/>
    <n v="42.1"/>
    <n v="126.30000000000001"/>
    <x v="74"/>
    <d v="2025-03-19T00:00:00"/>
    <s v="M"/>
    <x v="1"/>
    <x v="1"/>
    <s v="California"/>
    <s v="Alameda County"/>
    <x v="2"/>
    <x v="11"/>
    <x v="1"/>
  </r>
  <r>
    <s v="TX502039"/>
    <x v="7"/>
    <x v="2"/>
    <n v="65.3"/>
    <n v="195.89999999999998"/>
    <x v="74"/>
    <d v="2025-03-23T00:00:00"/>
    <s v="M"/>
    <x v="0"/>
    <x v="0"/>
    <s v="California"/>
    <s v="Contra Costa County"/>
    <x v="6"/>
    <x v="11"/>
    <x v="1"/>
  </r>
  <r>
    <s v="TX502040"/>
    <x v="15"/>
    <x v="0"/>
    <n v="20.6"/>
    <n v="20.6"/>
    <x v="74"/>
    <d v="2025-03-19T00:00:00"/>
    <s v="M"/>
    <x v="3"/>
    <x v="0"/>
    <s v="California"/>
    <s v="El Dorado County"/>
    <x v="2"/>
    <x v="11"/>
    <x v="1"/>
  </r>
  <r>
    <s v="TX502041"/>
    <x v="8"/>
    <x v="3"/>
    <n v="16.5"/>
    <n v="115.5"/>
    <x v="74"/>
    <d v="2025-03-17T00:00:00"/>
    <s v="M"/>
    <x v="1"/>
    <x v="1"/>
    <s v="California"/>
    <s v="Fresno County"/>
    <x v="3"/>
    <x v="11"/>
    <x v="1"/>
  </r>
  <r>
    <s v="TX502042"/>
    <x v="16"/>
    <x v="7"/>
    <n v="36.200000000000003"/>
    <n v="362"/>
    <x v="74"/>
    <d v="2025-03-18T00:00:00"/>
    <s v="M"/>
    <x v="0"/>
    <x v="2"/>
    <s v="California"/>
    <s v="Fresno County"/>
    <x v="1"/>
    <x v="11"/>
    <x v="1"/>
  </r>
  <r>
    <s v="TX502043"/>
    <x v="6"/>
    <x v="0"/>
    <n v="53.2"/>
    <n v="53.2"/>
    <x v="74"/>
    <d v="2025-03-17T00:00:00"/>
    <s v="F"/>
    <x v="0"/>
    <x v="1"/>
    <s v="California"/>
    <s v="Kern County"/>
    <x v="3"/>
    <x v="11"/>
    <x v="2"/>
  </r>
  <r>
    <s v="TX502044"/>
    <x v="2"/>
    <x v="21"/>
    <n v="176"/>
    <n v="2464"/>
    <x v="74"/>
    <d v="2025-03-17T00:00:00"/>
    <s v="F"/>
    <x v="0"/>
    <x v="1"/>
    <s v="California"/>
    <s v="Los Angeles County"/>
    <x v="3"/>
    <x v="11"/>
    <x v="2"/>
  </r>
  <r>
    <s v="TX502045"/>
    <x v="1"/>
    <x v="0"/>
    <n v="52.4"/>
    <n v="52.4"/>
    <x v="74"/>
    <d v="2025-03-17T00:00:00"/>
    <s v="M"/>
    <x v="1"/>
    <x v="0"/>
    <s v="California"/>
    <s v="Los Angeles County"/>
    <x v="3"/>
    <x v="11"/>
    <x v="1"/>
  </r>
  <r>
    <s v="TX502046"/>
    <x v="10"/>
    <x v="2"/>
    <n v="48.2"/>
    <n v="144.60000000000002"/>
    <x v="74"/>
    <d v="2025-03-17T00:00:00"/>
    <s v="F"/>
    <x v="1"/>
    <x v="2"/>
    <s v="California"/>
    <s v="Los Angeles County"/>
    <x v="3"/>
    <x v="11"/>
    <x v="2"/>
  </r>
  <r>
    <s v="TX502047"/>
    <x v="15"/>
    <x v="0"/>
    <n v="51.6"/>
    <n v="51.6"/>
    <x v="74"/>
    <d v="2025-03-20T00:00:00"/>
    <s v="F"/>
    <x v="2"/>
    <x v="1"/>
    <s v="California"/>
    <s v="Los Angeles County"/>
    <x v="5"/>
    <x v="11"/>
    <x v="2"/>
  </r>
  <r>
    <s v="TX502048"/>
    <x v="0"/>
    <x v="12"/>
    <n v="33.700000000000003"/>
    <n v="134.80000000000001"/>
    <x v="75"/>
    <d v="2025-03-18T00:00:00"/>
    <s v="M"/>
    <x v="0"/>
    <x v="0"/>
    <s v="California"/>
    <s v="Los Angeles County"/>
    <x v="3"/>
    <x v="11"/>
    <x v="1"/>
  </r>
  <r>
    <s v="TX502049"/>
    <x v="4"/>
    <x v="7"/>
    <n v="36.299999999999997"/>
    <n v="363"/>
    <x v="75"/>
    <d v="2025-03-19T00:00:00"/>
    <s v="F"/>
    <x v="4"/>
    <x v="1"/>
    <s v="California"/>
    <s v="Los Angeles County"/>
    <x v="1"/>
    <x v="11"/>
    <x v="2"/>
  </r>
  <r>
    <s v="TX502050"/>
    <x v="8"/>
    <x v="0"/>
    <n v="23.4"/>
    <n v="23.4"/>
    <x v="75"/>
    <d v="2025-03-22T00:00:00"/>
    <s v="F"/>
    <x v="1"/>
    <x v="2"/>
    <s v="California"/>
    <s v="Los Angeles County"/>
    <x v="0"/>
    <x v="11"/>
    <x v="2"/>
  </r>
  <r>
    <s v="TX502051"/>
    <x v="15"/>
    <x v="8"/>
    <n v="56.6"/>
    <n v="452.8"/>
    <x v="75"/>
    <d v="2025-03-19T00:00:00"/>
    <s v="F"/>
    <x v="1"/>
    <x v="0"/>
    <s v="California"/>
    <s v="Los Angeles County"/>
    <x v="1"/>
    <x v="11"/>
    <x v="2"/>
  </r>
  <r>
    <s v="TX502052"/>
    <x v="15"/>
    <x v="1"/>
    <n v="26.8"/>
    <n v="53.6"/>
    <x v="75"/>
    <d v="2025-03-18T00:00:00"/>
    <s v="M"/>
    <x v="0"/>
    <x v="0"/>
    <s v="California"/>
    <s v="Nevada County"/>
    <x v="3"/>
    <x v="11"/>
    <x v="1"/>
  </r>
  <r>
    <s v="TX502053"/>
    <x v="0"/>
    <x v="2"/>
    <n v="11.3"/>
    <n v="33.900000000000006"/>
    <x v="75"/>
    <d v="2025-03-19T00:00:00"/>
    <s v="M"/>
    <x v="2"/>
    <x v="0"/>
    <s v="California"/>
    <s v="Orange County"/>
    <x v="1"/>
    <x v="11"/>
    <x v="1"/>
  </r>
  <r>
    <s v="TX502054"/>
    <x v="6"/>
    <x v="2"/>
    <n v="60.1"/>
    <n v="180.3"/>
    <x v="75"/>
    <d v="2025-03-20T00:00:00"/>
    <s v="F"/>
    <x v="0"/>
    <x v="0"/>
    <s v="California"/>
    <s v="San Bernardino County"/>
    <x v="2"/>
    <x v="11"/>
    <x v="2"/>
  </r>
  <r>
    <s v="TX502055"/>
    <x v="0"/>
    <x v="5"/>
    <n v="27.7"/>
    <n v="304.7"/>
    <x v="75"/>
    <d v="2025-03-22T00:00:00"/>
    <s v="F"/>
    <x v="0"/>
    <x v="0"/>
    <s v="California"/>
    <s v="San Diego County"/>
    <x v="0"/>
    <x v="11"/>
    <x v="2"/>
  </r>
  <r>
    <s v="TX502056"/>
    <x v="15"/>
    <x v="0"/>
    <n v="71.400000000000006"/>
    <n v="71.400000000000006"/>
    <x v="75"/>
    <d v="2025-03-20T00:00:00"/>
    <s v="M"/>
    <x v="0"/>
    <x v="2"/>
    <s v="California"/>
    <s v="San Diego County"/>
    <x v="2"/>
    <x v="11"/>
    <x v="1"/>
  </r>
  <r>
    <s v="TX502057"/>
    <x v="2"/>
    <x v="1"/>
    <n v="66.7"/>
    <n v="133.4"/>
    <x v="75"/>
    <d v="2025-03-18T00:00:00"/>
    <s v="F"/>
    <x v="0"/>
    <x v="2"/>
    <s v="California"/>
    <s v="San Diego County"/>
    <x v="3"/>
    <x v="11"/>
    <x v="2"/>
  </r>
  <r>
    <s v="TX502058"/>
    <x v="13"/>
    <x v="9"/>
    <n v="39.1"/>
    <n v="195.5"/>
    <x v="75"/>
    <d v="2025-03-18T00:00:00"/>
    <s v="F"/>
    <x v="0"/>
    <x v="0"/>
    <s v="California"/>
    <s v="San Diego County"/>
    <x v="3"/>
    <x v="11"/>
    <x v="2"/>
  </r>
  <r>
    <s v="TX502059"/>
    <x v="8"/>
    <x v="12"/>
    <n v="24.9"/>
    <n v="99.6"/>
    <x v="75"/>
    <d v="2025-03-22T00:00:00"/>
    <s v="M"/>
    <x v="1"/>
    <x v="2"/>
    <s v="California"/>
    <s v="San Diego County"/>
    <x v="0"/>
    <x v="11"/>
    <x v="1"/>
  </r>
  <r>
    <s v="TX502060"/>
    <x v="5"/>
    <x v="9"/>
    <n v="29.2"/>
    <n v="146"/>
    <x v="75"/>
    <d v="2025-03-18T00:00:00"/>
    <s v="M"/>
    <x v="0"/>
    <x v="2"/>
    <s v="California"/>
    <s v="San Francisco"/>
    <x v="3"/>
    <x v="11"/>
    <x v="1"/>
  </r>
  <r>
    <s v="TX502061"/>
    <x v="13"/>
    <x v="21"/>
    <n v="28.3"/>
    <n v="396.2"/>
    <x v="75"/>
    <d v="2025-03-19T00:00:00"/>
    <s v="F"/>
    <x v="1"/>
    <x v="0"/>
    <s v="California"/>
    <s v="Santa Clara County"/>
    <x v="1"/>
    <x v="11"/>
    <x v="2"/>
  </r>
  <r>
    <s v="TX502062"/>
    <x v="9"/>
    <x v="2"/>
    <n v="37.799999999999997"/>
    <n v="113.39999999999999"/>
    <x v="75"/>
    <d v="2025-03-18T00:00:00"/>
    <s v="F"/>
    <x v="0"/>
    <x v="1"/>
    <s v="California"/>
    <s v="Santa Clara County"/>
    <x v="3"/>
    <x v="11"/>
    <x v="2"/>
  </r>
  <r>
    <s v="TX502063"/>
    <x v="14"/>
    <x v="3"/>
    <n v="28.1"/>
    <n v="196.70000000000002"/>
    <x v="75"/>
    <d v="2025-03-23T00:00:00"/>
    <s v="F"/>
    <x v="2"/>
    <x v="0"/>
    <s v="California"/>
    <s v="Santa Clara County"/>
    <x v="4"/>
    <x v="11"/>
    <x v="2"/>
  </r>
  <r>
    <s v="TX502064"/>
    <x v="1"/>
    <x v="2"/>
    <n v="59.7"/>
    <n v="179.10000000000002"/>
    <x v="75"/>
    <d v="2025-03-19T00:00:00"/>
    <s v="F"/>
    <x v="2"/>
    <x v="0"/>
    <s v="California"/>
    <s v="Santa Clara County"/>
    <x v="1"/>
    <x v="11"/>
    <x v="2"/>
  </r>
  <r>
    <s v="TX502065"/>
    <x v="16"/>
    <x v="0"/>
    <n v="71.900000000000006"/>
    <n v="71.900000000000006"/>
    <x v="75"/>
    <d v="2025-03-18T00:00:00"/>
    <s v="M"/>
    <x v="1"/>
    <x v="1"/>
    <s v="California"/>
    <s v="Santa Clara County"/>
    <x v="3"/>
    <x v="11"/>
    <x v="1"/>
  </r>
  <r>
    <s v="TX502066"/>
    <x v="1"/>
    <x v="1"/>
    <n v="56.9"/>
    <n v="113.8"/>
    <x v="75"/>
    <d v="2025-03-18T00:00:00"/>
    <s v="M"/>
    <x v="2"/>
    <x v="0"/>
    <s v="California"/>
    <s v="Ventura County"/>
    <x v="3"/>
    <x v="11"/>
    <x v="1"/>
  </r>
  <r>
    <s v="TX502067"/>
    <x v="8"/>
    <x v="1"/>
    <n v="15.8"/>
    <n v="31.6"/>
    <x v="75"/>
    <d v="2025-03-20T00:00:00"/>
    <s v="F"/>
    <x v="2"/>
    <x v="1"/>
    <s v="California"/>
    <s v="Contra Costa County"/>
    <x v="2"/>
    <x v="11"/>
    <x v="2"/>
  </r>
  <r>
    <s v="TX502068"/>
    <x v="11"/>
    <x v="12"/>
    <n v="61.7"/>
    <n v="246.8"/>
    <x v="75"/>
    <d v="2025-03-19T00:00:00"/>
    <s v="F"/>
    <x v="2"/>
    <x v="0"/>
    <s v="California"/>
    <s v="Kern County"/>
    <x v="1"/>
    <x v="11"/>
    <x v="2"/>
  </r>
  <r>
    <s v="TX502069"/>
    <x v="2"/>
    <x v="7"/>
    <n v="105.2"/>
    <n v="1052"/>
    <x v="75"/>
    <d v="2025-03-19T00:00:00"/>
    <s v="M"/>
    <x v="1"/>
    <x v="4"/>
    <s v="California"/>
    <s v="Los Angeles County"/>
    <x v="1"/>
    <x v="11"/>
    <x v="1"/>
  </r>
  <r>
    <s v="TX502070"/>
    <x v="0"/>
    <x v="1"/>
    <n v="17"/>
    <n v="34"/>
    <x v="75"/>
    <d v="2025-03-19T00:00:00"/>
    <s v="F"/>
    <x v="2"/>
    <x v="0"/>
    <s v="California"/>
    <s v="Los Angeles County"/>
    <x v="1"/>
    <x v="11"/>
    <x v="2"/>
  </r>
  <r>
    <s v="TX502071"/>
    <x v="6"/>
    <x v="2"/>
    <n v="84.1"/>
    <n v="252.29999999999998"/>
    <x v="75"/>
    <d v="2025-03-18T00:00:00"/>
    <s v="M"/>
    <x v="2"/>
    <x v="0"/>
    <s v="California"/>
    <s v="Los Angeles County"/>
    <x v="3"/>
    <x v="11"/>
    <x v="1"/>
  </r>
  <r>
    <s v="TX502072"/>
    <x v="3"/>
    <x v="12"/>
    <n v="59.5"/>
    <n v="238"/>
    <x v="75"/>
    <d v="2025-03-22T00:00:00"/>
    <s v="M"/>
    <x v="0"/>
    <x v="2"/>
    <s v="California"/>
    <s v="Los Angeles County"/>
    <x v="0"/>
    <x v="11"/>
    <x v="1"/>
  </r>
  <r>
    <s v="TX502073"/>
    <x v="8"/>
    <x v="1"/>
    <n v="57.5"/>
    <n v="115"/>
    <x v="75"/>
    <d v="2025-03-19T00:00:00"/>
    <s v="M"/>
    <x v="1"/>
    <x v="2"/>
    <s v="California"/>
    <s v="Los Angeles County"/>
    <x v="1"/>
    <x v="11"/>
    <x v="1"/>
  </r>
  <r>
    <s v="TX502074"/>
    <x v="8"/>
    <x v="0"/>
    <n v="34.299999999999997"/>
    <n v="34.299999999999997"/>
    <x v="75"/>
    <d v="2025-03-18T00:00:00"/>
    <s v="F"/>
    <x v="4"/>
    <x v="2"/>
    <s v="California"/>
    <s v="Los Angeles County"/>
    <x v="3"/>
    <x v="11"/>
    <x v="2"/>
  </r>
  <r>
    <s v="TX502075"/>
    <x v="5"/>
    <x v="1"/>
    <n v="27.8"/>
    <n v="55.6"/>
    <x v="76"/>
    <d v="2025-03-20T00:00:00"/>
    <s v="F"/>
    <x v="0"/>
    <x v="0"/>
    <s v="California"/>
    <s v="Los Angeles County"/>
    <x v="1"/>
    <x v="11"/>
    <x v="2"/>
  </r>
  <r>
    <s v="TX502076"/>
    <x v="12"/>
    <x v="1"/>
    <n v="85"/>
    <n v="170"/>
    <x v="76"/>
    <d v="2025-03-18T00:00:00"/>
    <s v="M"/>
    <x v="2"/>
    <x v="2"/>
    <s v="California"/>
    <s v="Los Angeles County"/>
    <x v="7"/>
    <x v="11"/>
    <x v="1"/>
  </r>
  <r>
    <s v="TX502077"/>
    <x v="6"/>
    <x v="1"/>
    <n v="95"/>
    <n v="190"/>
    <x v="76"/>
    <d v="2025-03-20T00:00:00"/>
    <s v="F"/>
    <x v="0"/>
    <x v="0"/>
    <s v="California"/>
    <s v="Los Angeles County"/>
    <x v="1"/>
    <x v="11"/>
    <x v="2"/>
  </r>
  <r>
    <s v="TX502078"/>
    <x v="16"/>
    <x v="1"/>
    <n v="32"/>
    <n v="64"/>
    <x v="76"/>
    <d v="2025-03-20T00:00:00"/>
    <s v="M"/>
    <x v="0"/>
    <x v="1"/>
    <s v="California"/>
    <s v="Los Angeles County"/>
    <x v="1"/>
    <x v="11"/>
    <x v="1"/>
  </r>
  <r>
    <s v="TX502079"/>
    <x v="2"/>
    <x v="1"/>
    <n v="65.2"/>
    <n v="130.4"/>
    <x v="76"/>
    <d v="2025-03-19T00:00:00"/>
    <s v="F"/>
    <x v="1"/>
    <x v="0"/>
    <s v="California"/>
    <s v="Los Angeles County"/>
    <x v="3"/>
    <x v="11"/>
    <x v="2"/>
  </r>
  <r>
    <s v="TX502080"/>
    <x v="17"/>
    <x v="12"/>
    <n v="22"/>
    <n v="88"/>
    <x v="76"/>
    <d v="2025-03-19T00:00:00"/>
    <s v="M"/>
    <x v="1"/>
    <x v="2"/>
    <s v="California"/>
    <s v="Los Angeles County"/>
    <x v="3"/>
    <x v="11"/>
    <x v="1"/>
  </r>
  <r>
    <s v="TX502081"/>
    <x v="15"/>
    <x v="2"/>
    <n v="69.400000000000006"/>
    <n v="208.20000000000002"/>
    <x v="76"/>
    <d v="2025-03-21T00:00:00"/>
    <s v="M"/>
    <x v="1"/>
    <x v="2"/>
    <s v="California"/>
    <s v="Los Angeles County"/>
    <x v="2"/>
    <x v="11"/>
    <x v="1"/>
  </r>
  <r>
    <s v="TX502082"/>
    <x v="10"/>
    <x v="13"/>
    <n v="31.5"/>
    <n v="189"/>
    <x v="76"/>
    <d v="2025-03-20T00:00:00"/>
    <s v="F"/>
    <x v="0"/>
    <x v="2"/>
    <s v="California"/>
    <s v="Los Angeles County"/>
    <x v="1"/>
    <x v="11"/>
    <x v="2"/>
  </r>
  <r>
    <s v="TX502083"/>
    <x v="6"/>
    <x v="0"/>
    <n v="45.8"/>
    <n v="45.8"/>
    <x v="76"/>
    <d v="2025-03-22T00:00:00"/>
    <s v="O"/>
    <x v="0"/>
    <x v="0"/>
    <s v="California"/>
    <s v="Los Angeles County"/>
    <x v="5"/>
    <x v="11"/>
    <x v="3"/>
  </r>
  <r>
    <s v="TX502084"/>
    <x v="19"/>
    <x v="12"/>
    <n v="12.8"/>
    <n v="51.2"/>
    <x v="76"/>
    <d v="2025-03-25T00:00:00"/>
    <s v="F"/>
    <x v="1"/>
    <x v="1"/>
    <s v="California"/>
    <s v="Placer County"/>
    <x v="6"/>
    <x v="11"/>
    <x v="2"/>
  </r>
  <r>
    <s v="TX502085"/>
    <x v="5"/>
    <x v="2"/>
    <n v="115.3"/>
    <n v="345.9"/>
    <x v="76"/>
    <d v="2025-03-19T00:00:00"/>
    <s v="F"/>
    <x v="2"/>
    <x v="2"/>
    <s v="California"/>
    <s v="Sacramento County"/>
    <x v="3"/>
    <x v="11"/>
    <x v="2"/>
  </r>
  <r>
    <s v="TX502086"/>
    <x v="5"/>
    <x v="1"/>
    <n v="85"/>
    <n v="170"/>
    <x v="76"/>
    <d v="2025-03-20T00:00:00"/>
    <s v="F"/>
    <x v="1"/>
    <x v="0"/>
    <s v="California"/>
    <s v="San Bernardino County"/>
    <x v="1"/>
    <x v="11"/>
    <x v="2"/>
  </r>
  <r>
    <s v="TX502087"/>
    <x v="8"/>
    <x v="2"/>
    <n v="56.6"/>
    <n v="169.8"/>
    <x v="76"/>
    <d v="2025-03-19T00:00:00"/>
    <s v="F"/>
    <x v="1"/>
    <x v="2"/>
    <s v="California"/>
    <s v="San Bernardino County"/>
    <x v="3"/>
    <x v="11"/>
    <x v="2"/>
  </r>
  <r>
    <s v="TX502088"/>
    <x v="15"/>
    <x v="6"/>
    <n v="46.3"/>
    <n v="1250.0999999999999"/>
    <x v="76"/>
    <d v="2025-03-21T00:00:00"/>
    <s v="M"/>
    <x v="0"/>
    <x v="0"/>
    <s v="California"/>
    <s v="San Bernardino County"/>
    <x v="2"/>
    <x v="11"/>
    <x v="1"/>
  </r>
  <r>
    <s v="TX502089"/>
    <x v="14"/>
    <x v="12"/>
    <n v="23"/>
    <n v="92"/>
    <x v="76"/>
    <d v="2025-03-22T00:00:00"/>
    <s v="M"/>
    <x v="3"/>
    <x v="2"/>
    <s v="California"/>
    <s v="San Bernardino County"/>
    <x v="5"/>
    <x v="11"/>
    <x v="1"/>
  </r>
  <r>
    <s v="TX502090"/>
    <x v="8"/>
    <x v="13"/>
    <n v="42.1"/>
    <n v="252.60000000000002"/>
    <x v="76"/>
    <d v="2025-03-20T00:00:00"/>
    <s v="M"/>
    <x v="4"/>
    <x v="0"/>
    <s v="California"/>
    <s v="San Diego County"/>
    <x v="1"/>
    <x v="11"/>
    <x v="1"/>
  </r>
  <r>
    <s v="TX502091"/>
    <x v="5"/>
    <x v="3"/>
    <n v="57.4"/>
    <n v="401.8"/>
    <x v="76"/>
    <d v="2025-03-22T00:00:00"/>
    <s v="F"/>
    <x v="1"/>
    <x v="4"/>
    <s v="California"/>
    <s v="San Diego County"/>
    <x v="5"/>
    <x v="11"/>
    <x v="2"/>
  </r>
  <r>
    <s v="TX502092"/>
    <x v="0"/>
    <x v="13"/>
    <n v="13.2"/>
    <n v="79.199999999999989"/>
    <x v="76"/>
    <d v="2025-03-22T00:00:00"/>
    <s v="M"/>
    <x v="2"/>
    <x v="0"/>
    <s v="California"/>
    <s v="San Diego County"/>
    <x v="5"/>
    <x v="11"/>
    <x v="1"/>
  </r>
  <r>
    <s v="TX502093"/>
    <x v="6"/>
    <x v="2"/>
    <n v="52.3"/>
    <n v="156.89999999999998"/>
    <x v="76"/>
    <d v="2025-03-19T00:00:00"/>
    <s v="M"/>
    <x v="1"/>
    <x v="0"/>
    <s v="California"/>
    <s v="San Diego County"/>
    <x v="3"/>
    <x v="11"/>
    <x v="1"/>
  </r>
  <r>
    <s v="TX502094"/>
    <x v="8"/>
    <x v="1"/>
    <n v="15.7"/>
    <n v="31.4"/>
    <x v="76"/>
    <d v="2025-03-21T00:00:00"/>
    <s v="M"/>
    <x v="1"/>
    <x v="2"/>
    <s v="California"/>
    <s v="San Diego County"/>
    <x v="2"/>
    <x v="11"/>
    <x v="1"/>
  </r>
  <r>
    <s v="TX502095"/>
    <x v="7"/>
    <x v="2"/>
    <n v="35"/>
    <n v="105"/>
    <x v="76"/>
    <d v="2025-03-21T00:00:00"/>
    <s v="F"/>
    <x v="1"/>
    <x v="2"/>
    <s v="California"/>
    <s v="San Mateo County"/>
    <x v="2"/>
    <x v="11"/>
    <x v="2"/>
  </r>
  <r>
    <s v="TX502096"/>
    <x v="4"/>
    <x v="2"/>
    <n v="26.6"/>
    <n v="79.800000000000011"/>
    <x v="76"/>
    <d v="2025-03-18T00:00:00"/>
    <s v="M"/>
    <x v="1"/>
    <x v="2"/>
    <s v="California"/>
    <s v="Santa Clara County"/>
    <x v="7"/>
    <x v="11"/>
    <x v="1"/>
  </r>
  <r>
    <s v="TX502097"/>
    <x v="4"/>
    <x v="8"/>
    <n v="47.9"/>
    <n v="383.2"/>
    <x v="77"/>
    <d v="2025-03-20T00:00:00"/>
    <s v="F"/>
    <x v="3"/>
    <x v="2"/>
    <s v="California"/>
    <s v="Tulare County"/>
    <x v="3"/>
    <x v="11"/>
    <x v="2"/>
  </r>
  <r>
    <s v="TX502098"/>
    <x v="5"/>
    <x v="0"/>
    <n v="80.099999999999994"/>
    <n v="80.099999999999994"/>
    <x v="77"/>
    <d v="2025-03-20T00:00:00"/>
    <s v="M"/>
    <x v="2"/>
    <x v="0"/>
    <s v="California"/>
    <s v="Alameda County"/>
    <x v="3"/>
    <x v="11"/>
    <x v="1"/>
  </r>
  <r>
    <s v="TX502099"/>
    <x v="6"/>
    <x v="9"/>
    <n v="50.4"/>
    <n v="252"/>
    <x v="77"/>
    <d v="2025-03-20T00:00:00"/>
    <s v="M"/>
    <x v="1"/>
    <x v="2"/>
    <s v="California"/>
    <s v="Alameda County"/>
    <x v="3"/>
    <x v="11"/>
    <x v="1"/>
  </r>
  <r>
    <s v="TX502100"/>
    <x v="10"/>
    <x v="3"/>
    <n v="43.3"/>
    <n v="303.09999999999997"/>
    <x v="77"/>
    <d v="2025-03-20T00:00:00"/>
    <s v="M"/>
    <x v="2"/>
    <x v="0"/>
    <s v="California"/>
    <s v="Alameda County"/>
    <x v="3"/>
    <x v="11"/>
    <x v="1"/>
  </r>
  <r>
    <s v="TX502101"/>
    <x v="10"/>
    <x v="12"/>
    <n v="57.5"/>
    <n v="230"/>
    <x v="77"/>
    <d v="2025-03-20T00:00:00"/>
    <s v="F"/>
    <x v="1"/>
    <x v="2"/>
    <s v="California"/>
    <s v="Contra Costa County"/>
    <x v="3"/>
    <x v="11"/>
    <x v="2"/>
  </r>
  <r>
    <s v="TX502102"/>
    <x v="9"/>
    <x v="15"/>
    <n v="24.8"/>
    <n v="322.40000000000003"/>
    <x v="77"/>
    <d v="2025-03-20T00:00:00"/>
    <s v="M"/>
    <x v="0"/>
    <x v="0"/>
    <s v="California"/>
    <s v="Del Norte County"/>
    <x v="3"/>
    <x v="11"/>
    <x v="1"/>
  </r>
  <r>
    <s v="TX502103"/>
    <x v="2"/>
    <x v="11"/>
    <n v="85.7"/>
    <n v="771.30000000000007"/>
    <x v="77"/>
    <d v="2025-03-20T00:00:00"/>
    <s v="F"/>
    <x v="0"/>
    <x v="0"/>
    <s v="California"/>
    <s v="El Dorado County"/>
    <x v="3"/>
    <x v="11"/>
    <x v="2"/>
  </r>
  <r>
    <s v="TX502104"/>
    <x v="7"/>
    <x v="0"/>
    <n v="47.1"/>
    <n v="47.1"/>
    <x v="77"/>
    <d v="2025-03-21T00:00:00"/>
    <s v="F"/>
    <x v="0"/>
    <x v="0"/>
    <s v="California"/>
    <s v="Fresno County"/>
    <x v="1"/>
    <x v="11"/>
    <x v="2"/>
  </r>
  <r>
    <s v="TX502105"/>
    <x v="5"/>
    <x v="7"/>
    <n v="83.2"/>
    <n v="832"/>
    <x v="77"/>
    <d v="2025-03-23T00:00:00"/>
    <s v="F"/>
    <x v="0"/>
    <x v="0"/>
    <s v="California"/>
    <s v="Imperial County"/>
    <x v="5"/>
    <x v="11"/>
    <x v="2"/>
  </r>
  <r>
    <s v="TX502106"/>
    <x v="2"/>
    <x v="2"/>
    <n v="157"/>
    <n v="471"/>
    <x v="77"/>
    <d v="2025-03-21T00:00:00"/>
    <s v="F"/>
    <x v="0"/>
    <x v="2"/>
    <s v="California"/>
    <s v="Kern County"/>
    <x v="1"/>
    <x v="11"/>
    <x v="2"/>
  </r>
  <r>
    <s v="TX502107"/>
    <x v="16"/>
    <x v="12"/>
    <n v="33.700000000000003"/>
    <n v="134.80000000000001"/>
    <x v="77"/>
    <d v="2025-03-20T00:00:00"/>
    <s v="M"/>
    <x v="2"/>
    <x v="2"/>
    <s v="California"/>
    <s v="Kern County"/>
    <x v="3"/>
    <x v="11"/>
    <x v="1"/>
  </r>
  <r>
    <s v="TX502108"/>
    <x v="2"/>
    <x v="2"/>
    <n v="60.8"/>
    <n v="182.39999999999998"/>
    <x v="77"/>
    <d v="2025-03-23T00:00:00"/>
    <s v="F"/>
    <x v="1"/>
    <x v="1"/>
    <s v="California"/>
    <s v="Los Angeles County"/>
    <x v="5"/>
    <x v="11"/>
    <x v="2"/>
  </r>
  <r>
    <s v="TX502109"/>
    <x v="7"/>
    <x v="0"/>
    <n v="57.6"/>
    <n v="57.6"/>
    <x v="77"/>
    <d v="2025-03-20T00:00:00"/>
    <s v="M"/>
    <x v="1"/>
    <x v="4"/>
    <s v="California"/>
    <s v="Los Angeles County"/>
    <x v="3"/>
    <x v="11"/>
    <x v="1"/>
  </r>
  <r>
    <s v="TX502110"/>
    <x v="10"/>
    <x v="0"/>
    <n v="32"/>
    <n v="32"/>
    <x v="77"/>
    <d v="2025-03-21T00:00:00"/>
    <s v="M"/>
    <x v="0"/>
    <x v="0"/>
    <s v="California"/>
    <s v="Los Angeles County"/>
    <x v="1"/>
    <x v="11"/>
    <x v="1"/>
  </r>
  <r>
    <s v="TX502111"/>
    <x v="10"/>
    <x v="12"/>
    <n v="23.5"/>
    <n v="94"/>
    <x v="77"/>
    <d v="2025-03-20T00:00:00"/>
    <s v="F"/>
    <x v="0"/>
    <x v="2"/>
    <s v="California"/>
    <s v="Los Angeles County"/>
    <x v="3"/>
    <x v="11"/>
    <x v="2"/>
  </r>
  <r>
    <s v="TX502112"/>
    <x v="12"/>
    <x v="2"/>
    <n v="44.8"/>
    <n v="134.39999999999998"/>
    <x v="77"/>
    <d v="2025-03-20T00:00:00"/>
    <s v="O"/>
    <x v="4"/>
    <x v="0"/>
    <s v="California"/>
    <s v="Los Angeles County"/>
    <x v="3"/>
    <x v="11"/>
    <x v="3"/>
  </r>
  <r>
    <s v="TX502113"/>
    <x v="0"/>
    <x v="8"/>
    <n v="11.7"/>
    <n v="93.6"/>
    <x v="77"/>
    <d v="2025-03-20T00:00:00"/>
    <s v="M"/>
    <x v="2"/>
    <x v="2"/>
    <s v="California"/>
    <s v="Los Angeles County"/>
    <x v="3"/>
    <x v="11"/>
    <x v="1"/>
  </r>
  <r>
    <s v="TX502114"/>
    <x v="7"/>
    <x v="1"/>
    <n v="38.799999999999997"/>
    <n v="77.599999999999994"/>
    <x v="77"/>
    <d v="2025-03-22T00:00:00"/>
    <s v="F"/>
    <x v="2"/>
    <x v="0"/>
    <s v="California"/>
    <s v="Los Angeles County"/>
    <x v="2"/>
    <x v="11"/>
    <x v="2"/>
  </r>
  <r>
    <s v="TX502115"/>
    <x v="5"/>
    <x v="21"/>
    <n v="86.9"/>
    <n v="1216.6000000000001"/>
    <x v="77"/>
    <d v="2025-03-24T00:00:00"/>
    <s v="F"/>
    <x v="1"/>
    <x v="0"/>
    <s v="California"/>
    <s v="Los Angeles County"/>
    <x v="0"/>
    <x v="11"/>
    <x v="2"/>
  </r>
  <r>
    <s v="TX502116"/>
    <x v="8"/>
    <x v="0"/>
    <n v="18.3"/>
    <n v="18.3"/>
    <x v="77"/>
    <d v="2025-03-20T00:00:00"/>
    <s v="F"/>
    <x v="0"/>
    <x v="0"/>
    <s v="California"/>
    <s v="Los Angeles County"/>
    <x v="3"/>
    <x v="11"/>
    <x v="2"/>
  </r>
  <r>
    <s v="TX502117"/>
    <x v="5"/>
    <x v="0"/>
    <n v="47.5"/>
    <n v="47.5"/>
    <x v="77"/>
    <d v="2025-03-23T00:00:00"/>
    <s v="M"/>
    <x v="4"/>
    <x v="2"/>
    <s v="California"/>
    <s v="Los Angeles County"/>
    <x v="5"/>
    <x v="11"/>
    <x v="1"/>
  </r>
  <r>
    <s v="TX502118"/>
    <x v="1"/>
    <x v="1"/>
    <n v="78.599999999999994"/>
    <n v="157.19999999999999"/>
    <x v="77"/>
    <d v="2025-03-20T00:00:00"/>
    <s v="M"/>
    <x v="2"/>
    <x v="2"/>
    <s v="California"/>
    <s v="Los Angeles County"/>
    <x v="3"/>
    <x v="11"/>
    <x v="1"/>
  </r>
  <r>
    <s v="TX502119"/>
    <x v="6"/>
    <x v="12"/>
    <n v="87.3"/>
    <n v="349.2"/>
    <x v="77"/>
    <d v="2025-03-20T00:00:00"/>
    <s v="M"/>
    <x v="0"/>
    <x v="0"/>
    <s v="California"/>
    <s v="Los Angeles County"/>
    <x v="3"/>
    <x v="11"/>
    <x v="1"/>
  </r>
  <r>
    <s v="TX502120"/>
    <x v="9"/>
    <x v="1"/>
    <n v="63.2"/>
    <n v="126.4"/>
    <x v="77"/>
    <d v="2025-03-19T00:00:00"/>
    <s v="M"/>
    <x v="4"/>
    <x v="1"/>
    <s v="California"/>
    <s v="Los Angeles County"/>
    <x v="7"/>
    <x v="11"/>
    <x v="1"/>
  </r>
  <r>
    <s v="TX502121"/>
    <x v="5"/>
    <x v="9"/>
    <n v="33.700000000000003"/>
    <n v="168.5"/>
    <x v="77"/>
    <d v="2025-03-20T00:00:00"/>
    <s v="F"/>
    <x v="0"/>
    <x v="0"/>
    <s v="California"/>
    <s v="Los Angeles County"/>
    <x v="3"/>
    <x v="11"/>
    <x v="2"/>
  </r>
  <r>
    <s v="TX502122"/>
    <x v="2"/>
    <x v="2"/>
    <n v="107.4"/>
    <n v="322.20000000000005"/>
    <x v="77"/>
    <d v="2025-04-01T00:00:00"/>
    <s v="F"/>
    <x v="1"/>
    <x v="2"/>
    <s v="California"/>
    <s v="Los Angeles County"/>
    <x v="10"/>
    <x v="11"/>
    <x v="2"/>
  </r>
  <r>
    <s v="TX502123"/>
    <x v="4"/>
    <x v="12"/>
    <n v="22.2"/>
    <n v="88.8"/>
    <x v="77"/>
    <d v="2025-03-20T00:00:00"/>
    <s v=""/>
    <x v="1"/>
    <x v="2"/>
    <s v="California"/>
    <s v="Merced County"/>
    <x v="3"/>
    <x v="11"/>
    <x v="0"/>
  </r>
  <r>
    <s v="TX502124"/>
    <x v="18"/>
    <x v="2"/>
    <n v="52.8"/>
    <n v="158.39999999999998"/>
    <x v="77"/>
    <d v="2025-03-20T00:00:00"/>
    <s v="M"/>
    <x v="3"/>
    <x v="2"/>
    <s v="California"/>
    <s v="Merced County"/>
    <x v="3"/>
    <x v="11"/>
    <x v="1"/>
  </r>
  <r>
    <s v="TX502125"/>
    <x v="8"/>
    <x v="2"/>
    <n v="41.5"/>
    <n v="124.5"/>
    <x v="77"/>
    <d v="2025-03-22T00:00:00"/>
    <s v="F"/>
    <x v="0"/>
    <x v="0"/>
    <s v="California"/>
    <s v="Orange County"/>
    <x v="2"/>
    <x v="11"/>
    <x v="2"/>
  </r>
  <r>
    <s v="TX502126"/>
    <x v="12"/>
    <x v="8"/>
    <n v="103.5"/>
    <n v="828"/>
    <x v="77"/>
    <d v="2025-03-22T00:00:00"/>
    <s v="F"/>
    <x v="0"/>
    <x v="2"/>
    <s v="California"/>
    <s v="Riverside County"/>
    <x v="2"/>
    <x v="11"/>
    <x v="2"/>
  </r>
  <r>
    <s v="TX502127"/>
    <x v="4"/>
    <x v="21"/>
    <n v="37.5"/>
    <n v="525"/>
    <x v="77"/>
    <d v="2025-03-19T00:00:00"/>
    <s v="F"/>
    <x v="1"/>
    <x v="2"/>
    <s v="California"/>
    <s v="Sacramento County"/>
    <x v="7"/>
    <x v="11"/>
    <x v="2"/>
  </r>
  <r>
    <s v="TX502128"/>
    <x v="15"/>
    <x v="8"/>
    <n v="44.4"/>
    <n v="355.2"/>
    <x v="77"/>
    <d v="2025-03-25T00:00:00"/>
    <s v="F"/>
    <x v="3"/>
    <x v="2"/>
    <s v="California"/>
    <s v="San Bernardino County"/>
    <x v="4"/>
    <x v="11"/>
    <x v="2"/>
  </r>
  <r>
    <s v="TX502129"/>
    <x v="8"/>
    <x v="2"/>
    <n v="26.2"/>
    <n v="78.599999999999994"/>
    <x v="77"/>
    <d v="2025-03-20T00:00:00"/>
    <s v="M"/>
    <x v="0"/>
    <x v="0"/>
    <s v="California"/>
    <s v="San Diego County"/>
    <x v="3"/>
    <x v="11"/>
    <x v="1"/>
  </r>
  <r>
    <s v="TX502130"/>
    <x v="1"/>
    <x v="3"/>
    <n v="32.200000000000003"/>
    <n v="225.40000000000003"/>
    <x v="77"/>
    <d v="2025-03-20T00:00:00"/>
    <s v="F"/>
    <x v="1"/>
    <x v="2"/>
    <s v="California"/>
    <s v="San Diego County"/>
    <x v="3"/>
    <x v="11"/>
    <x v="2"/>
  </r>
  <r>
    <s v="TX502131"/>
    <x v="8"/>
    <x v="0"/>
    <n v="17.399999999999999"/>
    <n v="17.399999999999999"/>
    <x v="77"/>
    <d v="2025-03-23T00:00:00"/>
    <s v=""/>
    <x v="2"/>
    <x v="1"/>
    <s v="California"/>
    <s v="San Diego County"/>
    <x v="5"/>
    <x v="11"/>
    <x v="0"/>
  </r>
  <r>
    <s v="TX502132"/>
    <x v="8"/>
    <x v="13"/>
    <n v="72.3"/>
    <n v="433.79999999999995"/>
    <x v="77"/>
    <d v="2025-03-22T00:00:00"/>
    <s v="F"/>
    <x v="0"/>
    <x v="0"/>
    <s v="California"/>
    <s v="San Diego County"/>
    <x v="2"/>
    <x v="11"/>
    <x v="2"/>
  </r>
  <r>
    <s v="TX502133"/>
    <x v="8"/>
    <x v="5"/>
    <n v="24.3"/>
    <n v="267.3"/>
    <x v="77"/>
    <d v="2025-03-20T00:00:00"/>
    <s v="M"/>
    <x v="0"/>
    <x v="0"/>
    <s v="California"/>
    <s v="San Diego County"/>
    <x v="3"/>
    <x v="11"/>
    <x v="1"/>
  </r>
  <r>
    <s v="TX502134"/>
    <x v="13"/>
    <x v="2"/>
    <n v="49.1"/>
    <n v="147.30000000000001"/>
    <x v="77"/>
    <d v="2025-03-25T00:00:00"/>
    <s v="M"/>
    <x v="2"/>
    <x v="4"/>
    <s v="California"/>
    <s v="San Diego County"/>
    <x v="4"/>
    <x v="11"/>
    <x v="1"/>
  </r>
  <r>
    <s v="TX502135"/>
    <x v="2"/>
    <x v="7"/>
    <n v="234.7"/>
    <n v="2347"/>
    <x v="77"/>
    <d v="2025-03-20T00:00:00"/>
    <s v="M"/>
    <x v="3"/>
    <x v="1"/>
    <s v="California"/>
    <s v="San Diego County"/>
    <x v="3"/>
    <x v="11"/>
    <x v="1"/>
  </r>
  <r>
    <s v="TX502136"/>
    <x v="3"/>
    <x v="9"/>
    <n v="76.099999999999994"/>
    <n v="380.5"/>
    <x v="77"/>
    <d v="2025-03-21T00:00:00"/>
    <s v="M"/>
    <x v="1"/>
    <x v="1"/>
    <s v="California"/>
    <s v="San Francisco"/>
    <x v="1"/>
    <x v="11"/>
    <x v="1"/>
  </r>
  <r>
    <s v="TX502137"/>
    <x v="1"/>
    <x v="2"/>
    <n v="93.9"/>
    <n v="281.70000000000005"/>
    <x v="77"/>
    <d v="2025-03-20T00:00:00"/>
    <s v="M"/>
    <x v="1"/>
    <x v="4"/>
    <s v="California"/>
    <s v="Santa Clara County"/>
    <x v="3"/>
    <x v="11"/>
    <x v="1"/>
  </r>
  <r>
    <s v="TX502138"/>
    <x v="2"/>
    <x v="12"/>
    <n v="187"/>
    <n v="748"/>
    <x v="78"/>
    <d v="2025-03-23T00:00:00"/>
    <s v="M"/>
    <x v="0"/>
    <x v="0"/>
    <s v="California"/>
    <s v="Santa Clara County"/>
    <x v="2"/>
    <x v="11"/>
    <x v="1"/>
  </r>
  <r>
    <s v="TX502139"/>
    <x v="8"/>
    <x v="1"/>
    <n v="18"/>
    <n v="36"/>
    <x v="78"/>
    <d v="2025-03-21T00:00:00"/>
    <s v="F"/>
    <x v="1"/>
    <x v="2"/>
    <s v="California"/>
    <s v="Shasta County"/>
    <x v="3"/>
    <x v="11"/>
    <x v="2"/>
  </r>
  <r>
    <s v="TX502140"/>
    <x v="4"/>
    <x v="0"/>
    <n v="24.4"/>
    <n v="24.4"/>
    <x v="78"/>
    <d v="2025-03-21T00:00:00"/>
    <s v="F"/>
    <x v="4"/>
    <x v="2"/>
    <s v="California"/>
    <s v="Alameda County"/>
    <x v="3"/>
    <x v="11"/>
    <x v="2"/>
  </r>
  <r>
    <s v="TX502141"/>
    <x v="10"/>
    <x v="1"/>
    <n v="38.799999999999997"/>
    <n v="77.599999999999994"/>
    <x v="78"/>
    <d v="2025-03-21T00:00:00"/>
    <s v="M"/>
    <x v="4"/>
    <x v="1"/>
    <s v="California"/>
    <s v="Los Angeles County"/>
    <x v="3"/>
    <x v="11"/>
    <x v="1"/>
  </r>
  <r>
    <s v="TX502142"/>
    <x v="3"/>
    <x v="0"/>
    <n v="59.7"/>
    <n v="59.7"/>
    <x v="78"/>
    <d v="2025-03-23T00:00:00"/>
    <s v="M"/>
    <x v="3"/>
    <x v="0"/>
    <s v="California"/>
    <s v="Los Angeles County"/>
    <x v="2"/>
    <x v="11"/>
    <x v="1"/>
  </r>
  <r>
    <s v="TX502143"/>
    <x v="7"/>
    <x v="0"/>
    <n v="31.2"/>
    <n v="31.2"/>
    <x v="78"/>
    <d v="2025-03-21T00:00:00"/>
    <s v="M"/>
    <x v="1"/>
    <x v="2"/>
    <s v="California"/>
    <s v="Los Angeles County"/>
    <x v="3"/>
    <x v="11"/>
    <x v="1"/>
  </r>
  <r>
    <s v="TX502144"/>
    <x v="0"/>
    <x v="0"/>
    <n v="16.8"/>
    <n v="16.8"/>
    <x v="78"/>
    <d v="2025-03-21T00:00:00"/>
    <s v="F"/>
    <x v="2"/>
    <x v="1"/>
    <s v="California"/>
    <s v="Los Angeles County"/>
    <x v="3"/>
    <x v="11"/>
    <x v="2"/>
  </r>
  <r>
    <s v="TX502145"/>
    <x v="8"/>
    <x v="0"/>
    <n v="46"/>
    <n v="46"/>
    <x v="78"/>
    <d v="2025-03-21T00:00:00"/>
    <s v="M"/>
    <x v="0"/>
    <x v="0"/>
    <s v="California"/>
    <s v="Los Angeles County"/>
    <x v="3"/>
    <x v="11"/>
    <x v="1"/>
  </r>
  <r>
    <s v="TX502146"/>
    <x v="9"/>
    <x v="8"/>
    <n v="42.2"/>
    <n v="337.6"/>
    <x v="78"/>
    <d v="2025-03-23T00:00:00"/>
    <s v="F"/>
    <x v="3"/>
    <x v="2"/>
    <s v="California"/>
    <s v="Los Angeles County"/>
    <x v="2"/>
    <x v="11"/>
    <x v="2"/>
  </r>
  <r>
    <s v="TX502147"/>
    <x v="1"/>
    <x v="2"/>
    <n v="71.5"/>
    <n v="214.5"/>
    <x v="78"/>
    <d v="2025-04-03T00:00:00"/>
    <s v="F"/>
    <x v="0"/>
    <x v="0"/>
    <s v="California"/>
    <s v="Los Angeles County"/>
    <x v="12"/>
    <x v="11"/>
    <x v="2"/>
  </r>
  <r>
    <s v="TX502148"/>
    <x v="1"/>
    <x v="1"/>
    <n v="76.599999999999994"/>
    <n v="153.19999999999999"/>
    <x v="78"/>
    <d v="2025-03-20T00:00:00"/>
    <s v="M"/>
    <x v="0"/>
    <x v="2"/>
    <s v="California"/>
    <s v="Los Angeles County"/>
    <x v="7"/>
    <x v="11"/>
    <x v="1"/>
  </r>
  <r>
    <s v="TX502149"/>
    <x v="12"/>
    <x v="1"/>
    <n v="87.3"/>
    <n v="174.6"/>
    <x v="78"/>
    <d v="2025-03-28T00:00:00"/>
    <s v="F"/>
    <x v="3"/>
    <x v="2"/>
    <s v="California"/>
    <s v="Los Angeles County"/>
    <x v="9"/>
    <x v="11"/>
    <x v="2"/>
  </r>
  <r>
    <s v="TX502150"/>
    <x v="1"/>
    <x v="0"/>
    <n v="63"/>
    <n v="63"/>
    <x v="78"/>
    <d v="2025-03-23T00:00:00"/>
    <s v="M"/>
    <x v="3"/>
    <x v="0"/>
    <s v="California"/>
    <s v="Los Angeles County"/>
    <x v="2"/>
    <x v="11"/>
    <x v="1"/>
  </r>
  <r>
    <s v="TX502151"/>
    <x v="8"/>
    <x v="1"/>
    <n v="41.7"/>
    <n v="83.4"/>
    <x v="78"/>
    <d v="2025-03-21T00:00:00"/>
    <s v="F"/>
    <x v="4"/>
    <x v="1"/>
    <s v="California"/>
    <s v="Marin County"/>
    <x v="3"/>
    <x v="11"/>
    <x v="2"/>
  </r>
  <r>
    <s v="TX502152"/>
    <x v="6"/>
    <x v="1"/>
    <n v="76.099999999999994"/>
    <n v="152.19999999999999"/>
    <x v="78"/>
    <d v="2025-03-20T00:00:00"/>
    <s v="F"/>
    <x v="4"/>
    <x v="2"/>
    <s v="California"/>
    <s v="Napa County"/>
    <x v="7"/>
    <x v="11"/>
    <x v="2"/>
  </r>
  <r>
    <s v="TX502153"/>
    <x v="13"/>
    <x v="1"/>
    <n v="28.5"/>
    <n v="57"/>
    <x v="78"/>
    <d v="2025-03-21T00:00:00"/>
    <s v="F"/>
    <x v="0"/>
    <x v="2"/>
    <s v="California"/>
    <s v="Nevada County"/>
    <x v="3"/>
    <x v="11"/>
    <x v="2"/>
  </r>
  <r>
    <s v="TX502154"/>
    <x v="0"/>
    <x v="12"/>
    <n v="32.1"/>
    <n v="128.4"/>
    <x v="78"/>
    <d v="2025-03-21T00:00:00"/>
    <s v="F"/>
    <x v="1"/>
    <x v="2"/>
    <s v="California"/>
    <s v="Orange County"/>
    <x v="3"/>
    <x v="11"/>
    <x v="2"/>
  </r>
  <r>
    <s v="TX502155"/>
    <x v="4"/>
    <x v="2"/>
    <n v="39"/>
    <n v="117"/>
    <x v="78"/>
    <d v="2025-03-23T00:00:00"/>
    <s v="M"/>
    <x v="1"/>
    <x v="2"/>
    <s v="California"/>
    <s v="Orange County"/>
    <x v="2"/>
    <x v="11"/>
    <x v="1"/>
  </r>
  <r>
    <s v="TX502156"/>
    <x v="6"/>
    <x v="0"/>
    <n v="78.5"/>
    <n v="78.5"/>
    <x v="78"/>
    <d v="2025-03-21T00:00:00"/>
    <s v="M"/>
    <x v="1"/>
    <x v="0"/>
    <s v="California"/>
    <s v="Sacramento County"/>
    <x v="3"/>
    <x v="11"/>
    <x v="1"/>
  </r>
  <r>
    <s v="TX502157"/>
    <x v="4"/>
    <x v="9"/>
    <n v="49.7"/>
    <n v="248.5"/>
    <x v="78"/>
    <d v="2025-03-22T00:00:00"/>
    <s v="F"/>
    <x v="0"/>
    <x v="0"/>
    <s v="California"/>
    <s v="Sacramento County"/>
    <x v="1"/>
    <x v="11"/>
    <x v="2"/>
  </r>
  <r>
    <s v="TX502158"/>
    <x v="1"/>
    <x v="12"/>
    <n v="68.400000000000006"/>
    <n v="273.60000000000002"/>
    <x v="78"/>
    <d v="2025-03-21T00:00:00"/>
    <s v="F"/>
    <x v="2"/>
    <x v="2"/>
    <s v="California"/>
    <s v="San Bernardino County"/>
    <x v="3"/>
    <x v="11"/>
    <x v="2"/>
  </r>
  <r>
    <s v="TX502159"/>
    <x v="3"/>
    <x v="1"/>
    <n v="72.900000000000006"/>
    <n v="145.80000000000001"/>
    <x v="78"/>
    <d v="2025-03-23T00:00:00"/>
    <s v=""/>
    <x v="0"/>
    <x v="2"/>
    <s v="California"/>
    <s v="San Bernardino County"/>
    <x v="2"/>
    <x v="11"/>
    <x v="0"/>
  </r>
  <r>
    <s v="TX502160"/>
    <x v="5"/>
    <x v="15"/>
    <n v="30.3"/>
    <n v="393.90000000000003"/>
    <x v="78"/>
    <d v="2025-03-21T00:00:00"/>
    <s v="M"/>
    <x v="4"/>
    <x v="0"/>
    <s v="California"/>
    <s v="San Bernardino County"/>
    <x v="3"/>
    <x v="11"/>
    <x v="1"/>
  </r>
  <r>
    <s v="TX502161"/>
    <x v="6"/>
    <x v="5"/>
    <n v="57.9"/>
    <n v="636.9"/>
    <x v="78"/>
    <d v="2025-03-21T00:00:00"/>
    <s v="F"/>
    <x v="0"/>
    <x v="0"/>
    <s v="California"/>
    <s v="San Diego County"/>
    <x v="3"/>
    <x v="11"/>
    <x v="2"/>
  </r>
  <r>
    <s v="TX502162"/>
    <x v="1"/>
    <x v="0"/>
    <n v="96.7"/>
    <n v="96.7"/>
    <x v="78"/>
    <d v="2025-03-21T00:00:00"/>
    <s v="M"/>
    <x v="0"/>
    <x v="0"/>
    <s v="California"/>
    <s v="San Diego County"/>
    <x v="3"/>
    <x v="11"/>
    <x v="1"/>
  </r>
  <r>
    <s v="TX502163"/>
    <x v="8"/>
    <x v="4"/>
    <n v="27.6"/>
    <n v="331.20000000000005"/>
    <x v="78"/>
    <d v="2025-03-22T00:00:00"/>
    <s v="M"/>
    <x v="2"/>
    <x v="2"/>
    <s v="California"/>
    <s v="San Diego County"/>
    <x v="1"/>
    <x v="11"/>
    <x v="1"/>
  </r>
  <r>
    <s v="TX502164"/>
    <x v="6"/>
    <x v="12"/>
    <n v="64.7"/>
    <n v="258.8"/>
    <x v="78"/>
    <d v="2025-03-20T00:00:00"/>
    <s v="M"/>
    <x v="3"/>
    <x v="2"/>
    <s v="California"/>
    <s v="San Diego County"/>
    <x v="7"/>
    <x v="11"/>
    <x v="1"/>
  </r>
  <r>
    <s v="TX502165"/>
    <x v="10"/>
    <x v="13"/>
    <n v="30.5"/>
    <n v="183"/>
    <x v="78"/>
    <d v="2025-03-21T00:00:00"/>
    <s v="M"/>
    <x v="4"/>
    <x v="0"/>
    <s v="California"/>
    <s v="San Diego County"/>
    <x v="3"/>
    <x v="11"/>
    <x v="1"/>
  </r>
  <r>
    <s v="TX502166"/>
    <x v="6"/>
    <x v="47"/>
    <n v="106"/>
    <n v="7420"/>
    <x v="79"/>
    <d v="2025-03-23T00:00:00"/>
    <s v="M"/>
    <x v="4"/>
    <x v="2"/>
    <s v="California"/>
    <s v="San Diego County"/>
    <x v="1"/>
    <x v="11"/>
    <x v="1"/>
  </r>
  <r>
    <s v="TX502167"/>
    <x v="12"/>
    <x v="9"/>
    <n v="76.8"/>
    <n v="384"/>
    <x v="79"/>
    <d v="2025-03-27T00:00:00"/>
    <s v=""/>
    <x v="1"/>
    <x v="1"/>
    <s v="California"/>
    <s v="Sonoma County"/>
    <x v="4"/>
    <x v="11"/>
    <x v="0"/>
  </r>
  <r>
    <s v="TX502168"/>
    <x v="6"/>
    <x v="1"/>
    <n v="80.400000000000006"/>
    <n v="160.80000000000001"/>
    <x v="79"/>
    <d v="2025-03-22T00:00:00"/>
    <s v="F"/>
    <x v="2"/>
    <x v="0"/>
    <s v="California"/>
    <s v="Ventura County"/>
    <x v="3"/>
    <x v="11"/>
    <x v="2"/>
  </r>
  <r>
    <s v="TX502169"/>
    <x v="6"/>
    <x v="12"/>
    <n v="69.099999999999994"/>
    <n v="276.39999999999998"/>
    <x v="79"/>
    <d v="2025-03-22T00:00:00"/>
    <s v="M"/>
    <x v="1"/>
    <x v="2"/>
    <s v="California"/>
    <s v="Alameda County"/>
    <x v="3"/>
    <x v="11"/>
    <x v="1"/>
  </r>
  <r>
    <s v="TX502170"/>
    <x v="18"/>
    <x v="1"/>
    <n v="76.400000000000006"/>
    <n v="152.80000000000001"/>
    <x v="79"/>
    <d v="2025-03-21T00:00:00"/>
    <s v="M"/>
    <x v="3"/>
    <x v="0"/>
    <s v="California"/>
    <s v="Alameda County"/>
    <x v="7"/>
    <x v="11"/>
    <x v="1"/>
  </r>
  <r>
    <s v="TX502171"/>
    <x v="2"/>
    <x v="1"/>
    <n v="61.3"/>
    <n v="122.6"/>
    <x v="79"/>
    <d v="2025-03-22T00:00:00"/>
    <s v="F"/>
    <x v="1"/>
    <x v="1"/>
    <s v="California"/>
    <s v="Alameda County"/>
    <x v="3"/>
    <x v="11"/>
    <x v="2"/>
  </r>
  <r>
    <s v="TX502172"/>
    <x v="7"/>
    <x v="0"/>
    <n v="58"/>
    <n v="58"/>
    <x v="79"/>
    <d v="2025-03-22T00:00:00"/>
    <s v="M"/>
    <x v="3"/>
    <x v="1"/>
    <s v="California"/>
    <s v="Contra Costa County"/>
    <x v="3"/>
    <x v="11"/>
    <x v="1"/>
  </r>
  <r>
    <s v="TX502173"/>
    <x v="2"/>
    <x v="8"/>
    <n v="102.3"/>
    <n v="818.4"/>
    <x v="79"/>
    <d v="2025-03-23T00:00:00"/>
    <s v="M"/>
    <x v="2"/>
    <x v="0"/>
    <s v="California"/>
    <s v="El Dorado County"/>
    <x v="1"/>
    <x v="11"/>
    <x v="1"/>
  </r>
  <r>
    <s v="TX502174"/>
    <x v="19"/>
    <x v="1"/>
    <n v="13.8"/>
    <n v="27.6"/>
    <x v="79"/>
    <d v="2025-03-22T00:00:00"/>
    <s v="F"/>
    <x v="4"/>
    <x v="2"/>
    <s v="California"/>
    <s v="Fresno County"/>
    <x v="3"/>
    <x v="11"/>
    <x v="2"/>
  </r>
  <r>
    <s v="TX502175"/>
    <x v="8"/>
    <x v="2"/>
    <n v="33.299999999999997"/>
    <n v="99.899999999999991"/>
    <x v="79"/>
    <d v="2025-03-24T00:00:00"/>
    <s v="F"/>
    <x v="2"/>
    <x v="0"/>
    <s v="California"/>
    <s v="Kern County"/>
    <x v="2"/>
    <x v="11"/>
    <x v="2"/>
  </r>
  <r>
    <s v="TX502176"/>
    <x v="10"/>
    <x v="0"/>
    <n v="27.4"/>
    <n v="27.4"/>
    <x v="79"/>
    <d v="2025-03-24T00:00:00"/>
    <s v="M"/>
    <x v="0"/>
    <x v="2"/>
    <s v="California"/>
    <s v="Kern County"/>
    <x v="2"/>
    <x v="11"/>
    <x v="1"/>
  </r>
  <r>
    <s v="TX502177"/>
    <x v="14"/>
    <x v="1"/>
    <n v="25.6"/>
    <n v="51.2"/>
    <x v="79"/>
    <d v="2025-03-22T00:00:00"/>
    <s v="F"/>
    <x v="1"/>
    <x v="1"/>
    <s v="California"/>
    <s v="Los Angeles County"/>
    <x v="3"/>
    <x v="11"/>
    <x v="2"/>
  </r>
  <r>
    <s v="TX502178"/>
    <x v="13"/>
    <x v="0"/>
    <n v="58.4"/>
    <n v="58.4"/>
    <x v="79"/>
    <d v="2025-03-22T00:00:00"/>
    <s v="F"/>
    <x v="2"/>
    <x v="2"/>
    <s v="California"/>
    <s v="Los Angeles County"/>
    <x v="3"/>
    <x v="11"/>
    <x v="2"/>
  </r>
  <r>
    <s v="TX502179"/>
    <x v="11"/>
    <x v="17"/>
    <n v="27"/>
    <n v="810"/>
    <x v="79"/>
    <d v="2025-03-22T00:00:00"/>
    <s v="F"/>
    <x v="4"/>
    <x v="0"/>
    <s v="California"/>
    <s v="Los Angeles County"/>
    <x v="3"/>
    <x v="11"/>
    <x v="2"/>
  </r>
  <r>
    <s v="TX502180"/>
    <x v="0"/>
    <x v="12"/>
    <n v="14.2"/>
    <n v="56.8"/>
    <x v="79"/>
    <d v="2025-03-22T00:00:00"/>
    <s v="M"/>
    <x v="0"/>
    <x v="2"/>
    <s v="California"/>
    <s v="Los Angeles County"/>
    <x v="3"/>
    <x v="11"/>
    <x v="1"/>
  </r>
  <r>
    <s v="TX502181"/>
    <x v="7"/>
    <x v="1"/>
    <n v="68"/>
    <n v="136"/>
    <x v="79"/>
    <d v="2025-03-31T00:00:00"/>
    <s v="M"/>
    <x v="2"/>
    <x v="1"/>
    <s v="California"/>
    <s v="Los Angeles County"/>
    <x v="14"/>
    <x v="11"/>
    <x v="1"/>
  </r>
  <r>
    <s v="TX502182"/>
    <x v="8"/>
    <x v="0"/>
    <n v="30.7"/>
    <n v="30.7"/>
    <x v="79"/>
    <d v="2025-03-22T00:00:00"/>
    <s v="M"/>
    <x v="0"/>
    <x v="0"/>
    <s v="California"/>
    <s v="Los Angeles County"/>
    <x v="3"/>
    <x v="11"/>
    <x v="1"/>
  </r>
  <r>
    <s v="TX502183"/>
    <x v="17"/>
    <x v="15"/>
    <n v="51.6"/>
    <n v="670.80000000000007"/>
    <x v="79"/>
    <d v="2025-03-24T00:00:00"/>
    <s v="O"/>
    <x v="1"/>
    <x v="2"/>
    <s v="California"/>
    <s v="Los Angeles County"/>
    <x v="2"/>
    <x v="11"/>
    <x v="3"/>
  </r>
  <r>
    <s v="TX502184"/>
    <x v="8"/>
    <x v="2"/>
    <n v="20.6"/>
    <n v="61.800000000000004"/>
    <x v="79"/>
    <d v="2025-03-25T00:00:00"/>
    <s v="F"/>
    <x v="4"/>
    <x v="2"/>
    <s v="California"/>
    <s v="Los Angeles County"/>
    <x v="5"/>
    <x v="11"/>
    <x v="2"/>
  </r>
  <r>
    <s v="TX502185"/>
    <x v="8"/>
    <x v="0"/>
    <n v="24.8"/>
    <n v="24.8"/>
    <x v="79"/>
    <d v="2025-03-22T00:00:00"/>
    <s v="M"/>
    <x v="4"/>
    <x v="0"/>
    <s v="California"/>
    <s v="Los Angeles County"/>
    <x v="3"/>
    <x v="11"/>
    <x v="1"/>
  </r>
  <r>
    <s v="TX502186"/>
    <x v="0"/>
    <x v="3"/>
    <n v="11.2"/>
    <n v="78.399999999999991"/>
    <x v="79"/>
    <d v="2025-03-24T00:00:00"/>
    <s v="M"/>
    <x v="1"/>
    <x v="0"/>
    <s v="California"/>
    <s v="Los Angeles County"/>
    <x v="2"/>
    <x v="11"/>
    <x v="1"/>
  </r>
  <r>
    <s v="TX502187"/>
    <x v="11"/>
    <x v="1"/>
    <n v="51.2"/>
    <n v="102.4"/>
    <x v="79"/>
    <d v="2025-03-22T00:00:00"/>
    <s v="F"/>
    <x v="1"/>
    <x v="2"/>
    <s v="California"/>
    <s v="Los Angeles County"/>
    <x v="3"/>
    <x v="11"/>
    <x v="2"/>
  </r>
  <r>
    <s v="TX502188"/>
    <x v="7"/>
    <x v="13"/>
    <n v="90.5"/>
    <n v="543"/>
    <x v="79"/>
    <d v="2025-03-22T00:00:00"/>
    <s v="F"/>
    <x v="1"/>
    <x v="4"/>
    <s v="California"/>
    <s v="Los Angeles County"/>
    <x v="3"/>
    <x v="11"/>
    <x v="2"/>
  </r>
  <r>
    <s v="TX502189"/>
    <x v="1"/>
    <x v="1"/>
    <n v="42.4"/>
    <n v="84.8"/>
    <x v="79"/>
    <d v="2025-03-22T00:00:00"/>
    <s v="M"/>
    <x v="1"/>
    <x v="2"/>
    <s v="California"/>
    <s v="Nevada County"/>
    <x v="3"/>
    <x v="11"/>
    <x v="1"/>
  </r>
  <r>
    <s v="TX502190"/>
    <x v="1"/>
    <x v="1"/>
    <n v="38.200000000000003"/>
    <n v="76.400000000000006"/>
    <x v="79"/>
    <d v="2025-03-22T00:00:00"/>
    <s v="M"/>
    <x v="0"/>
    <x v="0"/>
    <s v="California"/>
    <s v="Placer County"/>
    <x v="3"/>
    <x v="11"/>
    <x v="1"/>
  </r>
  <r>
    <s v="TX502191"/>
    <x v="2"/>
    <x v="11"/>
    <n v="121.3"/>
    <n v="1091.7"/>
    <x v="79"/>
    <d v="2025-03-26T00:00:00"/>
    <s v="M"/>
    <x v="0"/>
    <x v="0"/>
    <s v="California"/>
    <s v="Sacramento County"/>
    <x v="0"/>
    <x v="11"/>
    <x v="1"/>
  </r>
  <r>
    <s v="TX502192"/>
    <x v="6"/>
    <x v="1"/>
    <n v="46.9"/>
    <n v="93.8"/>
    <x v="79"/>
    <d v="2025-03-28T00:00:00"/>
    <s v="M"/>
    <x v="0"/>
    <x v="0"/>
    <s v="California"/>
    <s v="San Diego County"/>
    <x v="6"/>
    <x v="11"/>
    <x v="1"/>
  </r>
  <r>
    <s v="TX502193"/>
    <x v="10"/>
    <x v="0"/>
    <n v="55.3"/>
    <n v="55.3"/>
    <x v="79"/>
    <d v="2025-03-23T00:00:00"/>
    <s v="M"/>
    <x v="0"/>
    <x v="0"/>
    <s v="California"/>
    <s v="San Diego County"/>
    <x v="1"/>
    <x v="11"/>
    <x v="1"/>
  </r>
  <r>
    <s v="TX502194"/>
    <x v="2"/>
    <x v="2"/>
    <n v="70.599999999999994"/>
    <n v="211.79999999999998"/>
    <x v="80"/>
    <d v="2025-03-22T00:00:00"/>
    <s v="F"/>
    <x v="0"/>
    <x v="1"/>
    <s v="California"/>
    <s v="San Diego County"/>
    <x v="7"/>
    <x v="11"/>
    <x v="2"/>
  </r>
  <r>
    <s v="TX502195"/>
    <x v="14"/>
    <x v="12"/>
    <n v="26.1"/>
    <n v="104.4"/>
    <x v="80"/>
    <d v="2025-03-24T00:00:00"/>
    <s v="M"/>
    <x v="0"/>
    <x v="0"/>
    <s v="California"/>
    <s v="San Diego County"/>
    <x v="1"/>
    <x v="11"/>
    <x v="1"/>
  </r>
  <r>
    <s v="TX502196"/>
    <x v="9"/>
    <x v="5"/>
    <n v="34.5"/>
    <n v="379.5"/>
    <x v="80"/>
    <d v="2025-03-26T00:00:00"/>
    <s v="M"/>
    <x v="2"/>
    <x v="0"/>
    <s v="California"/>
    <s v="San Francisco"/>
    <x v="5"/>
    <x v="11"/>
    <x v="1"/>
  </r>
  <r>
    <s v="TX502197"/>
    <x v="1"/>
    <x v="1"/>
    <n v="64.2"/>
    <n v="128.4"/>
    <x v="80"/>
    <d v="2025-03-23T00:00:00"/>
    <s v="F"/>
    <x v="0"/>
    <x v="1"/>
    <s v="California"/>
    <s v="San Francisco"/>
    <x v="3"/>
    <x v="11"/>
    <x v="2"/>
  </r>
  <r>
    <s v="TX502198"/>
    <x v="2"/>
    <x v="12"/>
    <n v="145.69999999999999"/>
    <n v="582.79999999999995"/>
    <x v="80"/>
    <d v="2025-03-23T00:00:00"/>
    <s v="F"/>
    <x v="0"/>
    <x v="4"/>
    <s v="California"/>
    <s v="San Francisco"/>
    <x v="3"/>
    <x v="11"/>
    <x v="2"/>
  </r>
  <r>
    <s v="TX502199"/>
    <x v="12"/>
    <x v="1"/>
    <n v="78.5"/>
    <n v="157"/>
    <x v="80"/>
    <d v="2025-03-23T00:00:00"/>
    <s v="M"/>
    <x v="2"/>
    <x v="0"/>
    <s v="California"/>
    <s v="San Joaquin County"/>
    <x v="3"/>
    <x v="11"/>
    <x v="1"/>
  </r>
  <r>
    <s v="TX502200"/>
    <x v="1"/>
    <x v="0"/>
    <n v="34.200000000000003"/>
    <n v="34.200000000000003"/>
    <x v="80"/>
    <d v="2025-03-24T00:00:00"/>
    <s v="M"/>
    <x v="0"/>
    <x v="0"/>
    <s v="California"/>
    <s v="San Mateo County"/>
    <x v="1"/>
    <x v="11"/>
    <x v="1"/>
  </r>
  <r>
    <s v="TX502201"/>
    <x v="19"/>
    <x v="0"/>
    <n v="26.2"/>
    <n v="26.2"/>
    <x v="80"/>
    <d v="2025-03-23T00:00:00"/>
    <s v="M"/>
    <x v="2"/>
    <x v="0"/>
    <s v="California"/>
    <s v="San Mateo County"/>
    <x v="3"/>
    <x v="11"/>
    <x v="1"/>
  </r>
  <r>
    <s v="TX502202"/>
    <x v="6"/>
    <x v="12"/>
    <n v="53.2"/>
    <n v="212.8"/>
    <x v="80"/>
    <d v="2025-03-23T00:00:00"/>
    <s v="M"/>
    <x v="1"/>
    <x v="1"/>
    <s v="California"/>
    <s v="Santa Clara County"/>
    <x v="3"/>
    <x v="11"/>
    <x v="1"/>
  </r>
  <r>
    <s v="TX502203"/>
    <x v="1"/>
    <x v="0"/>
    <n v="35.4"/>
    <n v="35.4"/>
    <x v="80"/>
    <d v="2025-03-26T00:00:00"/>
    <s v="M"/>
    <x v="1"/>
    <x v="4"/>
    <s v="California"/>
    <s v="Sonoma County"/>
    <x v="5"/>
    <x v="11"/>
    <x v="1"/>
  </r>
  <r>
    <s v="TX502204"/>
    <x v="14"/>
    <x v="1"/>
    <n v="21.3"/>
    <n v="42.6"/>
    <x v="80"/>
    <d v="2025-03-23T00:00:00"/>
    <s v="M"/>
    <x v="2"/>
    <x v="0"/>
    <s v="California"/>
    <s v="Tulare County"/>
    <x v="3"/>
    <x v="11"/>
    <x v="1"/>
  </r>
  <r>
    <s v="TX502205"/>
    <x v="8"/>
    <x v="12"/>
    <n v="32.9"/>
    <n v="131.6"/>
    <x v="80"/>
    <d v="2025-03-25T00:00:00"/>
    <s v="F"/>
    <x v="4"/>
    <x v="2"/>
    <s v="California"/>
    <s v="Alameda County"/>
    <x v="2"/>
    <x v="11"/>
    <x v="2"/>
  </r>
  <r>
    <s v="TX502206"/>
    <x v="5"/>
    <x v="20"/>
    <n v="85.5"/>
    <n v="1282.5"/>
    <x v="80"/>
    <d v="2025-03-24T00:00:00"/>
    <s v="F"/>
    <x v="3"/>
    <x v="1"/>
    <s v="California"/>
    <s v="Alameda County"/>
    <x v="1"/>
    <x v="11"/>
    <x v="2"/>
  </r>
  <r>
    <s v="TX502207"/>
    <x v="4"/>
    <x v="0"/>
    <n v="26.8"/>
    <n v="26.8"/>
    <x v="80"/>
    <d v="2025-03-23T00:00:00"/>
    <s v="F"/>
    <x v="0"/>
    <x v="1"/>
    <s v="California"/>
    <s v="Fresno County"/>
    <x v="3"/>
    <x v="11"/>
    <x v="2"/>
  </r>
  <r>
    <s v="TX502208"/>
    <x v="9"/>
    <x v="18"/>
    <n v="31.7"/>
    <n v="824.19999999999993"/>
    <x v="80"/>
    <d v="2025-03-22T00:00:00"/>
    <s v="F"/>
    <x v="3"/>
    <x v="0"/>
    <s v="California"/>
    <s v="Fresno County"/>
    <x v="7"/>
    <x v="11"/>
    <x v="2"/>
  </r>
  <r>
    <s v="TX502209"/>
    <x v="1"/>
    <x v="1"/>
    <n v="78.3"/>
    <n v="156.6"/>
    <x v="80"/>
    <d v="2025-03-24T00:00:00"/>
    <s v="F"/>
    <x v="1"/>
    <x v="1"/>
    <s v="California"/>
    <s v="Los Angeles County"/>
    <x v="1"/>
    <x v="11"/>
    <x v="2"/>
  </r>
  <r>
    <s v="TX502210"/>
    <x v="6"/>
    <x v="0"/>
    <n v="43.9"/>
    <n v="43.9"/>
    <x v="80"/>
    <d v="2025-03-23T00:00:00"/>
    <s v="M"/>
    <x v="0"/>
    <x v="0"/>
    <s v="California"/>
    <s v="Los Angeles County"/>
    <x v="3"/>
    <x v="11"/>
    <x v="1"/>
  </r>
  <r>
    <s v="TX502211"/>
    <x v="18"/>
    <x v="2"/>
    <n v="84"/>
    <n v="252"/>
    <x v="80"/>
    <d v="2025-03-24T00:00:00"/>
    <s v=""/>
    <x v="3"/>
    <x v="2"/>
    <s v="California"/>
    <s v="Los Angeles County"/>
    <x v="1"/>
    <x v="11"/>
    <x v="0"/>
  </r>
  <r>
    <s v="TX502212"/>
    <x v="0"/>
    <x v="2"/>
    <n v="11.4"/>
    <n v="34.200000000000003"/>
    <x v="80"/>
    <d v="2025-03-23T00:00:00"/>
    <s v="M"/>
    <x v="4"/>
    <x v="0"/>
    <s v="California"/>
    <s v="Los Angeles County"/>
    <x v="3"/>
    <x v="11"/>
    <x v="1"/>
  </r>
  <r>
    <s v="TX502213"/>
    <x v="12"/>
    <x v="8"/>
    <n v="47.5"/>
    <n v="380"/>
    <x v="80"/>
    <d v="2025-03-30T00:00:00"/>
    <s v="F"/>
    <x v="0"/>
    <x v="0"/>
    <s v="California"/>
    <s v="Los Angeles County"/>
    <x v="9"/>
    <x v="11"/>
    <x v="2"/>
  </r>
  <r>
    <s v="TX502214"/>
    <x v="9"/>
    <x v="5"/>
    <n v="50.5"/>
    <n v="555.5"/>
    <x v="80"/>
    <d v="2025-03-24T00:00:00"/>
    <s v="M"/>
    <x v="2"/>
    <x v="0"/>
    <s v="California"/>
    <s v="Los Angeles County"/>
    <x v="1"/>
    <x v="11"/>
    <x v="1"/>
  </r>
  <r>
    <s v="TX502215"/>
    <x v="15"/>
    <x v="0"/>
    <n v="36.299999999999997"/>
    <n v="36.299999999999997"/>
    <x v="80"/>
    <d v="2025-03-25T00:00:00"/>
    <s v="O"/>
    <x v="0"/>
    <x v="1"/>
    <s v="California"/>
    <s v="San Diego County"/>
    <x v="2"/>
    <x v="11"/>
    <x v="3"/>
  </r>
  <r>
    <s v="TX502216"/>
    <x v="8"/>
    <x v="1"/>
    <n v="35.4"/>
    <n v="70.8"/>
    <x v="80"/>
    <d v="2025-03-23T00:00:00"/>
    <s v="F"/>
    <x v="0"/>
    <x v="0"/>
    <s v="California"/>
    <s v="San Francisco"/>
    <x v="3"/>
    <x v="11"/>
    <x v="2"/>
  </r>
  <r>
    <s v="TX502217"/>
    <x v="1"/>
    <x v="2"/>
    <n v="45.9"/>
    <n v="137.69999999999999"/>
    <x v="81"/>
    <d v="2025-03-24T00:00:00"/>
    <s v="M"/>
    <x v="3"/>
    <x v="0"/>
    <s v="California"/>
    <s v="San Mateo County"/>
    <x v="3"/>
    <x v="12"/>
    <x v="1"/>
  </r>
  <r>
    <s v="TX502218"/>
    <x v="6"/>
    <x v="7"/>
    <n v="41.2"/>
    <n v="412"/>
    <x v="81"/>
    <d v="2025-03-27T00:00:00"/>
    <s v="M"/>
    <x v="0"/>
    <x v="0"/>
    <s v="California"/>
    <s v="Santa Clara County"/>
    <x v="5"/>
    <x v="12"/>
    <x v="1"/>
  </r>
  <r>
    <s v="TX502219"/>
    <x v="17"/>
    <x v="1"/>
    <n v="45.1"/>
    <n v="90.2"/>
    <x v="81"/>
    <d v="2025-03-24T00:00:00"/>
    <s v="M"/>
    <x v="1"/>
    <x v="1"/>
    <s v="California"/>
    <s v="Alameda County"/>
    <x v="3"/>
    <x v="12"/>
    <x v="1"/>
  </r>
  <r>
    <s v="TX502220"/>
    <x v="6"/>
    <x v="7"/>
    <n v="63.6"/>
    <n v="636"/>
    <x v="81"/>
    <d v="2025-03-23T00:00:00"/>
    <s v="M"/>
    <x v="2"/>
    <x v="0"/>
    <s v="California"/>
    <s v="Contra Costa County"/>
    <x v="7"/>
    <x v="12"/>
    <x v="1"/>
  </r>
  <r>
    <s v="TX502221"/>
    <x v="8"/>
    <x v="0"/>
    <n v="70.5"/>
    <n v="70.5"/>
    <x v="81"/>
    <d v="2025-03-24T00:00:00"/>
    <s v="M"/>
    <x v="0"/>
    <x v="0"/>
    <s v="California"/>
    <s v="Los Angeles County"/>
    <x v="3"/>
    <x v="12"/>
    <x v="1"/>
  </r>
  <r>
    <s v="TX502222"/>
    <x v="6"/>
    <x v="0"/>
    <n v="41.3"/>
    <n v="41.3"/>
    <x v="81"/>
    <d v="2025-03-23T00:00:00"/>
    <s v="M"/>
    <x v="4"/>
    <x v="0"/>
    <s v="California"/>
    <s v="Los Angeles County"/>
    <x v="7"/>
    <x v="12"/>
    <x v="1"/>
  </r>
  <r>
    <s v="TX502223"/>
    <x v="4"/>
    <x v="0"/>
    <n v="35.299999999999997"/>
    <n v="35.299999999999997"/>
    <x v="81"/>
    <d v="2025-03-26T00:00:00"/>
    <s v="F"/>
    <x v="4"/>
    <x v="2"/>
    <s v="California"/>
    <s v="Los Angeles County"/>
    <x v="2"/>
    <x v="12"/>
    <x v="2"/>
  </r>
  <r>
    <s v="TX502224"/>
    <x v="8"/>
    <x v="9"/>
    <n v="34.700000000000003"/>
    <n v="173.5"/>
    <x v="81"/>
    <d v="2025-03-24T00:00:00"/>
    <s v="F"/>
    <x v="0"/>
    <x v="2"/>
    <s v="California"/>
    <s v="Los Angeles County"/>
    <x v="3"/>
    <x v="12"/>
    <x v="2"/>
  </r>
  <r>
    <s v="TX502225"/>
    <x v="8"/>
    <x v="2"/>
    <n v="26.1"/>
    <n v="78.300000000000011"/>
    <x v="81"/>
    <d v="2025-03-24T00:00:00"/>
    <s v="F"/>
    <x v="0"/>
    <x v="0"/>
    <s v="California"/>
    <s v="Los Angeles County"/>
    <x v="3"/>
    <x v="12"/>
    <x v="2"/>
  </r>
  <r>
    <s v="TX502226"/>
    <x v="9"/>
    <x v="9"/>
    <n v="22.6"/>
    <n v="113"/>
    <x v="81"/>
    <d v="2025-03-23T00:00:00"/>
    <s v="F"/>
    <x v="1"/>
    <x v="2"/>
    <s v="California"/>
    <s v="Los Angeles County"/>
    <x v="7"/>
    <x v="12"/>
    <x v="2"/>
  </r>
  <r>
    <s v="TX502227"/>
    <x v="2"/>
    <x v="1"/>
    <n v="154.4"/>
    <n v="308.8"/>
    <x v="81"/>
    <d v="2025-03-26T00:00:00"/>
    <s v="M"/>
    <x v="1"/>
    <x v="1"/>
    <s v="California"/>
    <s v="Los Angeles County"/>
    <x v="2"/>
    <x v="12"/>
    <x v="1"/>
  </r>
  <r>
    <s v="TX502228"/>
    <x v="8"/>
    <x v="1"/>
    <n v="18.399999999999999"/>
    <n v="36.799999999999997"/>
    <x v="81"/>
    <d v="2025-03-24T00:00:00"/>
    <s v="M"/>
    <x v="0"/>
    <x v="0"/>
    <s v="California"/>
    <s v="Los Angeles County"/>
    <x v="3"/>
    <x v="12"/>
    <x v="1"/>
  </r>
  <r>
    <s v="TX502229"/>
    <x v="14"/>
    <x v="0"/>
    <n v="25"/>
    <n v="25"/>
    <x v="81"/>
    <d v="2025-03-26T00:00:00"/>
    <s v="F"/>
    <x v="0"/>
    <x v="0"/>
    <s v="California"/>
    <s v="Los Angeles County"/>
    <x v="2"/>
    <x v="12"/>
    <x v="2"/>
  </r>
  <r>
    <s v="TX502230"/>
    <x v="2"/>
    <x v="13"/>
    <n v="105.6"/>
    <n v="633.59999999999991"/>
    <x v="81"/>
    <d v="2025-03-23T00:00:00"/>
    <s v="F"/>
    <x v="0"/>
    <x v="0"/>
    <s v="California"/>
    <s v="Los Angeles County"/>
    <x v="7"/>
    <x v="12"/>
    <x v="2"/>
  </r>
  <r>
    <s v="TX502231"/>
    <x v="18"/>
    <x v="8"/>
    <n v="59.6"/>
    <n v="476.8"/>
    <x v="81"/>
    <d v="2025-03-23T00:00:00"/>
    <s v="F"/>
    <x v="0"/>
    <x v="2"/>
    <s v="California"/>
    <s v="Riverside County"/>
    <x v="7"/>
    <x v="12"/>
    <x v="2"/>
  </r>
  <r>
    <s v="TX502232"/>
    <x v="15"/>
    <x v="2"/>
    <n v="75.400000000000006"/>
    <n v="226.20000000000002"/>
    <x v="81"/>
    <d v="2025-03-28T00:00:00"/>
    <s v="M"/>
    <x v="0"/>
    <x v="1"/>
    <s v="California"/>
    <s v="San Bernardino County"/>
    <x v="0"/>
    <x v="12"/>
    <x v="1"/>
  </r>
  <r>
    <s v="TX502233"/>
    <x v="7"/>
    <x v="0"/>
    <n v="104.4"/>
    <n v="104.4"/>
    <x v="81"/>
    <d v="2025-03-24T00:00:00"/>
    <s v="F"/>
    <x v="0"/>
    <x v="0"/>
    <s v="California"/>
    <s v="San Diego County"/>
    <x v="3"/>
    <x v="12"/>
    <x v="2"/>
  </r>
  <r>
    <s v="TX502234"/>
    <x v="2"/>
    <x v="7"/>
    <n v="208.2"/>
    <n v="2082"/>
    <x v="81"/>
    <d v="2025-03-24T00:00:00"/>
    <s v="M"/>
    <x v="0"/>
    <x v="2"/>
    <s v="California"/>
    <s v="San Diego County"/>
    <x v="3"/>
    <x v="12"/>
    <x v="1"/>
  </r>
  <r>
    <s v="TX502235"/>
    <x v="6"/>
    <x v="1"/>
    <n v="45"/>
    <n v="90"/>
    <x v="81"/>
    <d v="2025-03-26T00:00:00"/>
    <s v="F"/>
    <x v="0"/>
    <x v="0"/>
    <s v="California"/>
    <s v="Santa Barbara County"/>
    <x v="2"/>
    <x v="12"/>
    <x v="2"/>
  </r>
  <r>
    <s v="TX502236"/>
    <x v="15"/>
    <x v="1"/>
    <n v="20.3"/>
    <n v="40.6"/>
    <x v="82"/>
    <d v="2025-03-26T00:00:00"/>
    <s v=""/>
    <x v="1"/>
    <x v="0"/>
    <s v="California"/>
    <s v="Santa Clara County"/>
    <x v="1"/>
    <x v="12"/>
    <x v="0"/>
  </r>
  <r>
    <s v="TX502237"/>
    <x v="2"/>
    <x v="2"/>
    <n v="94.4"/>
    <n v="283.20000000000005"/>
    <x v="82"/>
    <d v="2025-03-25T00:00:00"/>
    <s v="F"/>
    <x v="0"/>
    <x v="2"/>
    <s v="California"/>
    <s v="Santa Clara County"/>
    <x v="3"/>
    <x v="12"/>
    <x v="2"/>
  </r>
  <r>
    <s v="TX502238"/>
    <x v="9"/>
    <x v="0"/>
    <n v="49"/>
    <n v="49"/>
    <x v="82"/>
    <d v="2025-03-26T00:00:00"/>
    <s v="F"/>
    <x v="0"/>
    <x v="2"/>
    <s v="California"/>
    <s v="Tulare County"/>
    <x v="1"/>
    <x v="12"/>
    <x v="2"/>
  </r>
  <r>
    <s v="TX502239"/>
    <x v="4"/>
    <x v="1"/>
    <n v="27.2"/>
    <n v="54.4"/>
    <x v="82"/>
    <d v="2025-03-26T00:00:00"/>
    <s v="M"/>
    <x v="0"/>
    <x v="2"/>
    <s v="California"/>
    <s v="Contra Costa County"/>
    <x v="1"/>
    <x v="12"/>
    <x v="1"/>
  </r>
  <r>
    <s v="TX502240"/>
    <x v="2"/>
    <x v="13"/>
    <n v="72.599999999999994"/>
    <n v="435.59999999999997"/>
    <x v="82"/>
    <d v="2025-03-25T00:00:00"/>
    <s v="F"/>
    <x v="0"/>
    <x v="2"/>
    <s v="California"/>
    <s v="Fresno County"/>
    <x v="3"/>
    <x v="12"/>
    <x v="2"/>
  </r>
  <r>
    <s v="TX502241"/>
    <x v="15"/>
    <x v="12"/>
    <n v="62.4"/>
    <n v="249.6"/>
    <x v="82"/>
    <d v="2025-03-25T00:00:00"/>
    <s v="F"/>
    <x v="0"/>
    <x v="0"/>
    <s v="California"/>
    <s v="Los Angeles County"/>
    <x v="3"/>
    <x v="12"/>
    <x v="2"/>
  </r>
  <r>
    <s v="TX502242"/>
    <x v="8"/>
    <x v="2"/>
    <n v="19.100000000000001"/>
    <n v="57.300000000000004"/>
    <x v="82"/>
    <d v="2025-03-26T00:00:00"/>
    <s v="M"/>
    <x v="0"/>
    <x v="1"/>
    <s v="California"/>
    <s v="Los Angeles County"/>
    <x v="1"/>
    <x v="12"/>
    <x v="1"/>
  </r>
  <r>
    <s v="TX502243"/>
    <x v="10"/>
    <x v="0"/>
    <n v="29.6"/>
    <n v="29.6"/>
    <x v="82"/>
    <d v="2025-03-28T00:00:00"/>
    <s v="M"/>
    <x v="0"/>
    <x v="4"/>
    <s v="California"/>
    <s v="Los Angeles County"/>
    <x v="5"/>
    <x v="12"/>
    <x v="1"/>
  </r>
  <r>
    <s v="TX502244"/>
    <x v="8"/>
    <x v="1"/>
    <n v="18.899999999999999"/>
    <n v="37.799999999999997"/>
    <x v="82"/>
    <d v="2025-03-26T00:00:00"/>
    <s v="F"/>
    <x v="4"/>
    <x v="2"/>
    <s v="California"/>
    <s v="Los Angeles County"/>
    <x v="1"/>
    <x v="12"/>
    <x v="2"/>
  </r>
  <r>
    <s v="TX502245"/>
    <x v="10"/>
    <x v="9"/>
    <n v="41.4"/>
    <n v="207"/>
    <x v="82"/>
    <d v="2025-03-25T00:00:00"/>
    <s v="M"/>
    <x v="3"/>
    <x v="0"/>
    <s v="California"/>
    <s v="Los Angeles County"/>
    <x v="3"/>
    <x v="12"/>
    <x v="1"/>
  </r>
  <r>
    <s v="TX502246"/>
    <x v="2"/>
    <x v="0"/>
    <n v="118.4"/>
    <n v="118.4"/>
    <x v="82"/>
    <d v="2025-03-25T00:00:00"/>
    <s v="F"/>
    <x v="0"/>
    <x v="2"/>
    <s v="California"/>
    <s v="Los Angeles County"/>
    <x v="3"/>
    <x v="12"/>
    <x v="2"/>
  </r>
  <r>
    <s v="TX502247"/>
    <x v="2"/>
    <x v="1"/>
    <n v="125.3"/>
    <n v="250.6"/>
    <x v="82"/>
    <d v="2025-03-27T00:00:00"/>
    <s v="F"/>
    <x v="0"/>
    <x v="2"/>
    <s v="California"/>
    <s v="Los Angeles County"/>
    <x v="2"/>
    <x v="12"/>
    <x v="2"/>
  </r>
  <r>
    <s v="TX502248"/>
    <x v="3"/>
    <x v="1"/>
    <n v="85.8"/>
    <n v="171.6"/>
    <x v="82"/>
    <d v="2025-03-25T00:00:00"/>
    <s v="F"/>
    <x v="1"/>
    <x v="4"/>
    <s v="California"/>
    <s v="Los Angeles County"/>
    <x v="3"/>
    <x v="12"/>
    <x v="2"/>
  </r>
  <r>
    <s v="TX502249"/>
    <x v="6"/>
    <x v="0"/>
    <n v="44.2"/>
    <n v="44.2"/>
    <x v="82"/>
    <d v="2025-03-27T00:00:00"/>
    <s v="M"/>
    <x v="1"/>
    <x v="0"/>
    <s v="California"/>
    <s v="Los Angeles County"/>
    <x v="2"/>
    <x v="12"/>
    <x v="1"/>
  </r>
  <r>
    <s v="TX502250"/>
    <x v="5"/>
    <x v="12"/>
    <n v="74.099999999999994"/>
    <n v="296.39999999999998"/>
    <x v="82"/>
    <d v="2025-03-26T00:00:00"/>
    <s v="F"/>
    <x v="0"/>
    <x v="0"/>
    <s v="California"/>
    <s v="Los Angeles County"/>
    <x v="1"/>
    <x v="12"/>
    <x v="2"/>
  </r>
  <r>
    <s v="TX502251"/>
    <x v="8"/>
    <x v="0"/>
    <n v="33.799999999999997"/>
    <n v="33.799999999999997"/>
    <x v="82"/>
    <d v="2025-03-25T00:00:00"/>
    <s v="F"/>
    <x v="2"/>
    <x v="2"/>
    <s v="California"/>
    <s v="Merced County"/>
    <x v="3"/>
    <x v="12"/>
    <x v="2"/>
  </r>
  <r>
    <s v="TX502252"/>
    <x v="1"/>
    <x v="1"/>
    <n v="39.1"/>
    <n v="78.2"/>
    <x v="82"/>
    <d v="2025-03-25T00:00:00"/>
    <s v="M"/>
    <x v="0"/>
    <x v="1"/>
    <s v="California"/>
    <s v="Merced County"/>
    <x v="3"/>
    <x v="12"/>
    <x v="1"/>
  </r>
  <r>
    <s v="TX502253"/>
    <x v="0"/>
    <x v="0"/>
    <n v="37.200000000000003"/>
    <n v="37.200000000000003"/>
    <x v="82"/>
    <d v="2025-03-25T00:00:00"/>
    <s v="M"/>
    <x v="0"/>
    <x v="1"/>
    <s v="California"/>
    <s v="Napa County"/>
    <x v="3"/>
    <x v="12"/>
    <x v="1"/>
  </r>
  <r>
    <s v="TX502254"/>
    <x v="15"/>
    <x v="2"/>
    <n v="33.9"/>
    <n v="101.69999999999999"/>
    <x v="82"/>
    <d v="2025-03-26T00:00:00"/>
    <s v="M"/>
    <x v="2"/>
    <x v="0"/>
    <s v="California"/>
    <s v="Sacramento County"/>
    <x v="1"/>
    <x v="12"/>
    <x v="1"/>
  </r>
  <r>
    <s v="TX502255"/>
    <x v="7"/>
    <x v="20"/>
    <n v="73.3"/>
    <n v="1099.5"/>
    <x v="82"/>
    <d v="2025-03-27T00:00:00"/>
    <s v="F"/>
    <x v="2"/>
    <x v="1"/>
    <s v="California"/>
    <s v="San Diego County"/>
    <x v="2"/>
    <x v="12"/>
    <x v="2"/>
  </r>
  <r>
    <s v="TX502256"/>
    <x v="8"/>
    <x v="12"/>
    <n v="35"/>
    <n v="140"/>
    <x v="82"/>
    <d v="2025-03-26T00:00:00"/>
    <s v="F"/>
    <x v="1"/>
    <x v="0"/>
    <s v="California"/>
    <s v="San Diego County"/>
    <x v="1"/>
    <x v="12"/>
    <x v="2"/>
  </r>
  <r>
    <s v="TX502257"/>
    <x v="0"/>
    <x v="2"/>
    <n v="22.2"/>
    <n v="66.599999999999994"/>
    <x v="82"/>
    <d v="2025-03-25T00:00:00"/>
    <s v="M"/>
    <x v="1"/>
    <x v="0"/>
    <s v="California"/>
    <s v="San Francisco"/>
    <x v="3"/>
    <x v="12"/>
    <x v="1"/>
  </r>
  <r>
    <s v="TX502258"/>
    <x v="10"/>
    <x v="0"/>
    <n v="32.4"/>
    <n v="32.4"/>
    <x v="82"/>
    <d v="2025-03-25T00:00:00"/>
    <s v="F"/>
    <x v="0"/>
    <x v="0"/>
    <s v="California"/>
    <s v="Santa Clara County"/>
    <x v="3"/>
    <x v="12"/>
    <x v="2"/>
  </r>
  <r>
    <s v="TX502259"/>
    <x v="5"/>
    <x v="2"/>
    <n v="88.4"/>
    <n v="265.20000000000005"/>
    <x v="83"/>
    <d v="2025-03-27T00:00:00"/>
    <s v="F"/>
    <x v="1"/>
    <x v="1"/>
    <s v="California"/>
    <s v="Santa Clara County"/>
    <x v="1"/>
    <x v="12"/>
    <x v="2"/>
  </r>
  <r>
    <s v="TX502260"/>
    <x v="5"/>
    <x v="27"/>
    <n v="30.5"/>
    <n v="488"/>
    <x v="83"/>
    <d v="2025-03-26T00:00:00"/>
    <s v="F"/>
    <x v="2"/>
    <x v="0"/>
    <s v="California"/>
    <s v="Santa Clara County"/>
    <x v="3"/>
    <x v="12"/>
    <x v="2"/>
  </r>
  <r>
    <s v="TX502261"/>
    <x v="1"/>
    <x v="13"/>
    <n v="38.1"/>
    <n v="228.60000000000002"/>
    <x v="83"/>
    <d v="2025-03-27T00:00:00"/>
    <s v="F"/>
    <x v="0"/>
    <x v="1"/>
    <s v="California"/>
    <s v="Santa Clara County"/>
    <x v="1"/>
    <x v="12"/>
    <x v="2"/>
  </r>
  <r>
    <s v="TX502262"/>
    <x v="10"/>
    <x v="9"/>
    <n v="37.6"/>
    <n v="188"/>
    <x v="83"/>
    <d v="2025-03-29T00:00:00"/>
    <s v="M"/>
    <x v="0"/>
    <x v="0"/>
    <s v="California"/>
    <s v="Santa Clara County"/>
    <x v="5"/>
    <x v="12"/>
    <x v="1"/>
  </r>
  <r>
    <s v="TX502263"/>
    <x v="15"/>
    <x v="1"/>
    <n v="31.4"/>
    <n v="62.8"/>
    <x v="83"/>
    <d v="2025-03-26T00:00:00"/>
    <s v="M"/>
    <x v="0"/>
    <x v="2"/>
    <s v="California"/>
    <s v="Santa Clara County"/>
    <x v="3"/>
    <x v="12"/>
    <x v="1"/>
  </r>
  <r>
    <s v="TX502264"/>
    <x v="6"/>
    <x v="1"/>
    <n v="61.5"/>
    <n v="123"/>
    <x v="83"/>
    <d v="2025-03-26T00:00:00"/>
    <s v="M"/>
    <x v="3"/>
    <x v="0"/>
    <s v="California"/>
    <s v="Sutter County"/>
    <x v="3"/>
    <x v="12"/>
    <x v="1"/>
  </r>
  <r>
    <s v="TX502265"/>
    <x v="6"/>
    <x v="0"/>
    <n v="72.599999999999994"/>
    <n v="72.599999999999994"/>
    <x v="83"/>
    <d v="2025-03-26T00:00:00"/>
    <s v="M"/>
    <x v="0"/>
    <x v="1"/>
    <s v="California"/>
    <s v="Alameda County"/>
    <x v="3"/>
    <x v="12"/>
    <x v="1"/>
  </r>
  <r>
    <s v="TX502266"/>
    <x v="9"/>
    <x v="2"/>
    <n v="26.9"/>
    <n v="80.699999999999989"/>
    <x v="83"/>
    <d v="2025-03-30T00:00:00"/>
    <s v="O"/>
    <x v="4"/>
    <x v="1"/>
    <s v="California"/>
    <s v="Amador County"/>
    <x v="0"/>
    <x v="12"/>
    <x v="3"/>
  </r>
  <r>
    <s v="TX502267"/>
    <x v="17"/>
    <x v="4"/>
    <n v="29.4"/>
    <n v="352.79999999999995"/>
    <x v="83"/>
    <d v="2025-03-26T00:00:00"/>
    <s v="F"/>
    <x v="1"/>
    <x v="0"/>
    <s v="California"/>
    <s v="Butte County"/>
    <x v="3"/>
    <x v="12"/>
    <x v="2"/>
  </r>
  <r>
    <s v="TX502268"/>
    <x v="17"/>
    <x v="1"/>
    <n v="42.1"/>
    <n v="84.2"/>
    <x v="83"/>
    <d v="2025-03-26T00:00:00"/>
    <s v="F"/>
    <x v="3"/>
    <x v="1"/>
    <s v="California"/>
    <s v="Contra Costa County"/>
    <x v="3"/>
    <x v="12"/>
    <x v="2"/>
  </r>
  <r>
    <s v="TX502269"/>
    <x v="5"/>
    <x v="0"/>
    <n v="40.5"/>
    <n v="40.5"/>
    <x v="83"/>
    <d v="2025-03-26T00:00:00"/>
    <s v="F"/>
    <x v="2"/>
    <x v="1"/>
    <s v="California"/>
    <s v="Contra Costa County"/>
    <x v="3"/>
    <x v="12"/>
    <x v="2"/>
  </r>
  <r>
    <s v="TX502270"/>
    <x v="2"/>
    <x v="12"/>
    <n v="182.3"/>
    <n v="729.2"/>
    <x v="83"/>
    <d v="2025-03-26T00:00:00"/>
    <s v="F"/>
    <x v="1"/>
    <x v="0"/>
    <s v="California"/>
    <s v="Contra Costa County"/>
    <x v="3"/>
    <x v="12"/>
    <x v="2"/>
  </r>
  <r>
    <s v="TX502271"/>
    <x v="2"/>
    <x v="9"/>
    <n v="157"/>
    <n v="785"/>
    <x v="83"/>
    <d v="2025-03-28T00:00:00"/>
    <s v="F"/>
    <x v="1"/>
    <x v="2"/>
    <s v="California"/>
    <s v="Fresno County"/>
    <x v="2"/>
    <x v="12"/>
    <x v="2"/>
  </r>
  <r>
    <s v="TX502272"/>
    <x v="17"/>
    <x v="9"/>
    <n v="45.2"/>
    <n v="226"/>
    <x v="83"/>
    <d v="2025-03-28T00:00:00"/>
    <s v="F"/>
    <x v="1"/>
    <x v="0"/>
    <s v="California"/>
    <s v="Kern County"/>
    <x v="2"/>
    <x v="12"/>
    <x v="2"/>
  </r>
  <r>
    <s v="TX502273"/>
    <x v="15"/>
    <x v="12"/>
    <n v="27.4"/>
    <n v="109.6"/>
    <x v="83"/>
    <d v="2025-03-27T00:00:00"/>
    <s v="F"/>
    <x v="0"/>
    <x v="0"/>
    <s v="California"/>
    <s v="Los Angeles County"/>
    <x v="1"/>
    <x v="12"/>
    <x v="2"/>
  </r>
  <r>
    <s v="TX502274"/>
    <x v="5"/>
    <x v="9"/>
    <n v="34.1"/>
    <n v="170.5"/>
    <x v="83"/>
    <d v="2025-03-27T00:00:00"/>
    <s v="M"/>
    <x v="0"/>
    <x v="2"/>
    <s v="California"/>
    <s v="Los Angeles County"/>
    <x v="1"/>
    <x v="12"/>
    <x v="1"/>
  </r>
  <r>
    <s v="TX502275"/>
    <x v="0"/>
    <x v="1"/>
    <n v="26"/>
    <n v="52"/>
    <x v="83"/>
    <d v="2025-03-27T00:00:00"/>
    <s v="M"/>
    <x v="2"/>
    <x v="1"/>
    <s v="California"/>
    <s v="Los Angeles County"/>
    <x v="1"/>
    <x v="12"/>
    <x v="1"/>
  </r>
  <r>
    <s v="TX502276"/>
    <x v="8"/>
    <x v="3"/>
    <n v="19.399999999999999"/>
    <n v="135.79999999999998"/>
    <x v="83"/>
    <d v="2025-03-27T00:00:00"/>
    <s v=""/>
    <x v="1"/>
    <x v="1"/>
    <s v="California"/>
    <s v="Los Angeles County"/>
    <x v="1"/>
    <x v="12"/>
    <x v="0"/>
  </r>
  <r>
    <s v="TX502277"/>
    <x v="16"/>
    <x v="2"/>
    <n v="30.3"/>
    <n v="90.9"/>
    <x v="83"/>
    <d v="2025-03-28T00:00:00"/>
    <s v="F"/>
    <x v="1"/>
    <x v="2"/>
    <s v="California"/>
    <s v="Los Angeles County"/>
    <x v="2"/>
    <x v="12"/>
    <x v="2"/>
  </r>
  <r>
    <s v="TX502278"/>
    <x v="2"/>
    <x v="2"/>
    <n v="101.4"/>
    <n v="304.20000000000005"/>
    <x v="83"/>
    <d v="2025-03-26T00:00:00"/>
    <s v="M"/>
    <x v="0"/>
    <x v="0"/>
    <s v="California"/>
    <s v="Los Angeles County"/>
    <x v="3"/>
    <x v="12"/>
    <x v="1"/>
  </r>
  <r>
    <s v="TX502279"/>
    <x v="3"/>
    <x v="9"/>
    <n v="55.5"/>
    <n v="277.5"/>
    <x v="83"/>
    <d v="2025-03-28T00:00:00"/>
    <s v="M"/>
    <x v="1"/>
    <x v="0"/>
    <s v="California"/>
    <s v="Merced County"/>
    <x v="2"/>
    <x v="12"/>
    <x v="1"/>
  </r>
  <r>
    <s v="TX502280"/>
    <x v="8"/>
    <x v="0"/>
    <n v="23.1"/>
    <n v="23.1"/>
    <x v="83"/>
    <d v="2025-03-26T00:00:00"/>
    <s v="M"/>
    <x v="0"/>
    <x v="0"/>
    <s v="California"/>
    <s v="Orange County"/>
    <x v="3"/>
    <x v="12"/>
    <x v="1"/>
  </r>
  <r>
    <s v="TX502281"/>
    <x v="18"/>
    <x v="1"/>
    <n v="38.9"/>
    <n v="77.8"/>
    <x v="83"/>
    <d v="2025-03-26T00:00:00"/>
    <s v="M"/>
    <x v="2"/>
    <x v="0"/>
    <s v="California"/>
    <s v="Orange County"/>
    <x v="3"/>
    <x v="12"/>
    <x v="1"/>
  </r>
  <r>
    <s v="TX502282"/>
    <x v="6"/>
    <x v="11"/>
    <n v="116.3"/>
    <n v="1046.7"/>
    <x v="83"/>
    <d v="2025-03-29T00:00:00"/>
    <s v="F"/>
    <x v="0"/>
    <x v="0"/>
    <s v="California"/>
    <s v="Placer County"/>
    <x v="5"/>
    <x v="12"/>
    <x v="2"/>
  </r>
  <r>
    <s v="TX502283"/>
    <x v="16"/>
    <x v="11"/>
    <n v="64.099999999999994"/>
    <n v="576.9"/>
    <x v="83"/>
    <d v="2025-03-25T00:00:00"/>
    <s v="F"/>
    <x v="0"/>
    <x v="2"/>
    <s v="California"/>
    <s v="Sacramento County"/>
    <x v="7"/>
    <x v="12"/>
    <x v="2"/>
  </r>
  <r>
    <s v="TX502284"/>
    <x v="2"/>
    <x v="13"/>
    <n v="109.2"/>
    <n v="655.20000000000005"/>
    <x v="83"/>
    <d v="2025-03-27T00:00:00"/>
    <s v="M"/>
    <x v="0"/>
    <x v="1"/>
    <s v="California"/>
    <s v="San Diego County"/>
    <x v="1"/>
    <x v="12"/>
    <x v="1"/>
  </r>
  <r>
    <s v="TX502285"/>
    <x v="10"/>
    <x v="9"/>
    <n v="23.2"/>
    <n v="116"/>
    <x v="84"/>
    <d v="2025-03-27T00:00:00"/>
    <s v="M"/>
    <x v="0"/>
    <x v="1"/>
    <s v="California"/>
    <s v="San Diego County"/>
    <x v="3"/>
    <x v="12"/>
    <x v="1"/>
  </r>
  <r>
    <s v="TX502286"/>
    <x v="18"/>
    <x v="13"/>
    <n v="81.2"/>
    <n v="487.20000000000005"/>
    <x v="84"/>
    <d v="2025-03-28T00:00:00"/>
    <s v="M"/>
    <x v="2"/>
    <x v="2"/>
    <s v="California"/>
    <s v="San Diego County"/>
    <x v="1"/>
    <x v="12"/>
    <x v="1"/>
  </r>
  <r>
    <s v="TX502287"/>
    <x v="1"/>
    <x v="21"/>
    <n v="35.700000000000003"/>
    <n v="499.80000000000007"/>
    <x v="84"/>
    <d v="2025-03-27T00:00:00"/>
    <s v="M"/>
    <x v="3"/>
    <x v="0"/>
    <s v="California"/>
    <s v="San Diego County"/>
    <x v="3"/>
    <x v="12"/>
    <x v="1"/>
  </r>
  <r>
    <s v="TX502288"/>
    <x v="7"/>
    <x v="1"/>
    <n v="44.5"/>
    <n v="89"/>
    <x v="84"/>
    <d v="2025-03-29T00:00:00"/>
    <s v="M"/>
    <x v="4"/>
    <x v="0"/>
    <s v="California"/>
    <s v="San Mateo County"/>
    <x v="2"/>
    <x v="12"/>
    <x v="1"/>
  </r>
  <r>
    <s v="TX502289"/>
    <x v="1"/>
    <x v="9"/>
    <n v="32"/>
    <n v="160"/>
    <x v="84"/>
    <d v="2025-03-28T00:00:00"/>
    <s v="O"/>
    <x v="1"/>
    <x v="1"/>
    <s v="California"/>
    <s v="San Mateo County"/>
    <x v="1"/>
    <x v="12"/>
    <x v="3"/>
  </r>
  <r>
    <s v="TX502290"/>
    <x v="8"/>
    <x v="0"/>
    <n v="25.7"/>
    <n v="25.7"/>
    <x v="84"/>
    <d v="2025-03-27T00:00:00"/>
    <s v="M"/>
    <x v="0"/>
    <x v="0"/>
    <s v="California"/>
    <s v="Santa Barbara County"/>
    <x v="3"/>
    <x v="12"/>
    <x v="1"/>
  </r>
  <r>
    <s v="TX502291"/>
    <x v="16"/>
    <x v="2"/>
    <n v="65.599999999999994"/>
    <n v="196.79999999999998"/>
    <x v="84"/>
    <d v="2025-04-01T00:00:00"/>
    <s v="M"/>
    <x v="0"/>
    <x v="0"/>
    <s v="California"/>
    <s v="Santa Clara County"/>
    <x v="4"/>
    <x v="12"/>
    <x v="1"/>
  </r>
  <r>
    <s v="TX502292"/>
    <x v="1"/>
    <x v="12"/>
    <n v="52.1"/>
    <n v="208.4"/>
    <x v="84"/>
    <d v="2025-03-27T00:00:00"/>
    <s v="F"/>
    <x v="0"/>
    <x v="2"/>
    <s v="California"/>
    <s v="Santa Clara County"/>
    <x v="3"/>
    <x v="12"/>
    <x v="2"/>
  </r>
  <r>
    <s v="TX502293"/>
    <x v="8"/>
    <x v="0"/>
    <n v="31"/>
    <n v="31"/>
    <x v="84"/>
    <d v="2025-03-27T00:00:00"/>
    <s v="M"/>
    <x v="0"/>
    <x v="1"/>
    <s v="California"/>
    <s v="Stanislaus County"/>
    <x v="3"/>
    <x v="12"/>
    <x v="1"/>
  </r>
  <r>
    <s v="TX502294"/>
    <x v="8"/>
    <x v="0"/>
    <n v="32"/>
    <n v="32"/>
    <x v="84"/>
    <d v="2025-03-28T00:00:00"/>
    <s v="O"/>
    <x v="3"/>
    <x v="1"/>
    <s v="California"/>
    <s v="Sutter County"/>
    <x v="1"/>
    <x v="12"/>
    <x v="3"/>
  </r>
  <r>
    <s v="TX502295"/>
    <x v="16"/>
    <x v="12"/>
    <n v="58.3"/>
    <n v="233.2"/>
    <x v="84"/>
    <d v="2025-03-30T00:00:00"/>
    <s v="M"/>
    <x v="1"/>
    <x v="4"/>
    <s v="California"/>
    <s v="Tulare County"/>
    <x v="5"/>
    <x v="12"/>
    <x v="1"/>
  </r>
  <r>
    <s v="TX502296"/>
    <x v="8"/>
    <x v="2"/>
    <n v="31"/>
    <n v="93"/>
    <x v="84"/>
    <d v="2025-03-28T00:00:00"/>
    <s v="F"/>
    <x v="2"/>
    <x v="4"/>
    <s v="California"/>
    <s v="Ventura County"/>
    <x v="1"/>
    <x v="12"/>
    <x v="2"/>
  </r>
  <r>
    <s v="TX502297"/>
    <x v="3"/>
    <x v="0"/>
    <n v="40.299999999999997"/>
    <n v="40.299999999999997"/>
    <x v="84"/>
    <d v="2025-03-27T00:00:00"/>
    <s v="M"/>
    <x v="1"/>
    <x v="2"/>
    <s v="California"/>
    <s v="Colusa County"/>
    <x v="3"/>
    <x v="12"/>
    <x v="1"/>
  </r>
  <r>
    <s v="TX502298"/>
    <x v="6"/>
    <x v="2"/>
    <n v="47.3"/>
    <n v="141.89999999999998"/>
    <x v="84"/>
    <d v="2025-03-28T00:00:00"/>
    <s v="M"/>
    <x v="4"/>
    <x v="2"/>
    <s v="California"/>
    <s v="Fresno County"/>
    <x v="1"/>
    <x v="12"/>
    <x v="1"/>
  </r>
  <r>
    <s v="TX502299"/>
    <x v="2"/>
    <x v="0"/>
    <n v="82.8"/>
    <n v="82.8"/>
    <x v="84"/>
    <d v="2025-03-27T00:00:00"/>
    <s v="M"/>
    <x v="0"/>
    <x v="0"/>
    <s v="California"/>
    <s v="Fresno County"/>
    <x v="3"/>
    <x v="12"/>
    <x v="1"/>
  </r>
  <r>
    <s v="TX502300"/>
    <x v="8"/>
    <x v="0"/>
    <n v="18.5"/>
    <n v="18.5"/>
    <x v="84"/>
    <d v="2025-04-09T00:00:00"/>
    <s v="F"/>
    <x v="0"/>
    <x v="0"/>
    <s v="California"/>
    <s v="Humboldt County"/>
    <x v="12"/>
    <x v="12"/>
    <x v="2"/>
  </r>
  <r>
    <s v="TX502301"/>
    <x v="3"/>
    <x v="1"/>
    <n v="60.4"/>
    <n v="120.8"/>
    <x v="84"/>
    <d v="2025-03-27T00:00:00"/>
    <s v="M"/>
    <x v="2"/>
    <x v="0"/>
    <s v="California"/>
    <s v="Kern County"/>
    <x v="3"/>
    <x v="12"/>
    <x v="1"/>
  </r>
  <r>
    <s v="TX502302"/>
    <x v="6"/>
    <x v="9"/>
    <n v="80.2"/>
    <n v="401"/>
    <x v="84"/>
    <d v="2025-04-02T00:00:00"/>
    <s v="M"/>
    <x v="1"/>
    <x v="1"/>
    <s v="California"/>
    <s v="Lake County"/>
    <x v="6"/>
    <x v="12"/>
    <x v="1"/>
  </r>
  <r>
    <s v="TX502303"/>
    <x v="4"/>
    <x v="0"/>
    <n v="41.5"/>
    <n v="41.5"/>
    <x v="84"/>
    <d v="2025-03-28T00:00:00"/>
    <s v="M"/>
    <x v="2"/>
    <x v="0"/>
    <s v="California"/>
    <s v="Los Angeles County"/>
    <x v="1"/>
    <x v="12"/>
    <x v="1"/>
  </r>
  <r>
    <s v="TX502304"/>
    <x v="2"/>
    <x v="1"/>
    <n v="83.9"/>
    <n v="167.8"/>
    <x v="84"/>
    <d v="2025-03-29T00:00:00"/>
    <s v="F"/>
    <x v="0"/>
    <x v="0"/>
    <s v="California"/>
    <s v="Los Angeles County"/>
    <x v="2"/>
    <x v="12"/>
    <x v="2"/>
  </r>
  <r>
    <s v="TX502305"/>
    <x v="8"/>
    <x v="1"/>
    <n v="16.7"/>
    <n v="33.4"/>
    <x v="84"/>
    <d v="2025-03-30T00:00:00"/>
    <s v="F"/>
    <x v="0"/>
    <x v="1"/>
    <s v="California"/>
    <s v="Los Angeles County"/>
    <x v="5"/>
    <x v="12"/>
    <x v="2"/>
  </r>
  <r>
    <s v="TX502306"/>
    <x v="9"/>
    <x v="1"/>
    <n v="72.900000000000006"/>
    <n v="145.80000000000001"/>
    <x v="84"/>
    <d v="2025-03-27T00:00:00"/>
    <s v="M"/>
    <x v="2"/>
    <x v="1"/>
    <s v="California"/>
    <s v="Los Angeles County"/>
    <x v="3"/>
    <x v="12"/>
    <x v="1"/>
  </r>
  <r>
    <s v="TX502307"/>
    <x v="5"/>
    <x v="1"/>
    <n v="50.2"/>
    <n v="100.4"/>
    <x v="84"/>
    <d v="2025-03-28T00:00:00"/>
    <s v="F"/>
    <x v="1"/>
    <x v="2"/>
    <s v="California"/>
    <s v="Los Angeles County"/>
    <x v="1"/>
    <x v="12"/>
    <x v="2"/>
  </r>
  <r>
    <s v="TX502308"/>
    <x v="3"/>
    <x v="1"/>
    <n v="34.200000000000003"/>
    <n v="68.400000000000006"/>
    <x v="84"/>
    <d v="2025-04-05T00:00:00"/>
    <s v=""/>
    <x v="1"/>
    <x v="0"/>
    <s v="California"/>
    <s v="Los Angeles County"/>
    <x v="14"/>
    <x v="12"/>
    <x v="0"/>
  </r>
  <r>
    <s v="TX502309"/>
    <x v="5"/>
    <x v="1"/>
    <n v="107.9"/>
    <n v="215.8"/>
    <x v="84"/>
    <d v="2025-03-26T00:00:00"/>
    <s v="M"/>
    <x v="1"/>
    <x v="4"/>
    <s v="California"/>
    <s v="Los Angeles County"/>
    <x v="7"/>
    <x v="12"/>
    <x v="1"/>
  </r>
  <r>
    <s v="TX502310"/>
    <x v="0"/>
    <x v="2"/>
    <n v="17.5"/>
    <n v="52.5"/>
    <x v="84"/>
    <d v="2025-03-28T00:00:00"/>
    <s v="M"/>
    <x v="4"/>
    <x v="0"/>
    <s v="California"/>
    <s v="Los Angeles County"/>
    <x v="1"/>
    <x v="12"/>
    <x v="1"/>
  </r>
  <r>
    <s v="TX502311"/>
    <x v="13"/>
    <x v="20"/>
    <n v="44.7"/>
    <n v="670.5"/>
    <x v="84"/>
    <d v="2025-03-27T00:00:00"/>
    <s v="M"/>
    <x v="0"/>
    <x v="1"/>
    <s v="California"/>
    <s v="Los Angeles County"/>
    <x v="3"/>
    <x v="12"/>
    <x v="1"/>
  </r>
  <r>
    <s v="TX502312"/>
    <x v="12"/>
    <x v="13"/>
    <n v="92.7"/>
    <n v="556.20000000000005"/>
    <x v="84"/>
    <d v="2025-03-28T00:00:00"/>
    <s v="F"/>
    <x v="2"/>
    <x v="1"/>
    <s v="California"/>
    <s v="Los Angeles County"/>
    <x v="1"/>
    <x v="12"/>
    <x v="2"/>
  </r>
  <r>
    <s v="TX502313"/>
    <x v="7"/>
    <x v="2"/>
    <n v="48.8"/>
    <n v="146.39999999999998"/>
    <x v="84"/>
    <d v="2025-03-28T00:00:00"/>
    <s v="F"/>
    <x v="2"/>
    <x v="0"/>
    <s v="California"/>
    <s v="Los Angeles County"/>
    <x v="1"/>
    <x v="12"/>
    <x v="2"/>
  </r>
  <r>
    <s v="TX502314"/>
    <x v="4"/>
    <x v="27"/>
    <n v="21.3"/>
    <n v="340.8"/>
    <x v="84"/>
    <d v="2025-03-30T00:00:00"/>
    <s v="F"/>
    <x v="3"/>
    <x v="3"/>
    <s v="California"/>
    <s v="Los Angeles County"/>
    <x v="5"/>
    <x v="12"/>
    <x v="2"/>
  </r>
  <r>
    <s v="TX502315"/>
    <x v="16"/>
    <x v="0"/>
    <n v="52.5"/>
    <n v="52.5"/>
    <x v="84"/>
    <d v="2025-03-27T00:00:00"/>
    <s v="F"/>
    <x v="0"/>
    <x v="0"/>
    <s v="California"/>
    <s v="Los Angeles County"/>
    <x v="3"/>
    <x v="12"/>
    <x v="2"/>
  </r>
  <r>
    <s v="TX502316"/>
    <x v="1"/>
    <x v="1"/>
    <n v="92.4"/>
    <n v="184.8"/>
    <x v="84"/>
    <d v="2025-04-01T00:00:00"/>
    <s v="F"/>
    <x v="0"/>
    <x v="2"/>
    <s v="California"/>
    <s v="Los Angeles County"/>
    <x v="4"/>
    <x v="12"/>
    <x v="2"/>
  </r>
  <r>
    <s v="TX502317"/>
    <x v="4"/>
    <x v="5"/>
    <n v="58.3"/>
    <n v="641.29999999999995"/>
    <x v="84"/>
    <d v="2025-03-28T00:00:00"/>
    <s v="M"/>
    <x v="1"/>
    <x v="2"/>
    <s v="California"/>
    <s v="Los Angeles County"/>
    <x v="1"/>
    <x v="12"/>
    <x v="1"/>
  </r>
  <r>
    <s v="TX502318"/>
    <x v="6"/>
    <x v="44"/>
    <n v="152.6"/>
    <n v="3509.7999999999997"/>
    <x v="85"/>
    <d v="2025-03-29T00:00:00"/>
    <s v=""/>
    <x v="0"/>
    <x v="0"/>
    <s v="California"/>
    <s v="Los Angeles County"/>
    <x v="1"/>
    <x v="12"/>
    <x v="0"/>
  </r>
  <r>
    <s v="TX502319"/>
    <x v="8"/>
    <x v="1"/>
    <n v="26"/>
    <n v="52"/>
    <x v="85"/>
    <d v="2025-03-27T00:00:00"/>
    <s v=""/>
    <x v="0"/>
    <x v="1"/>
    <s v="California"/>
    <s v="Los Angeles County"/>
    <x v="7"/>
    <x v="12"/>
    <x v="0"/>
  </r>
  <r>
    <s v="TX502320"/>
    <x v="1"/>
    <x v="12"/>
    <n v="33.1"/>
    <n v="132.4"/>
    <x v="85"/>
    <d v="2025-03-27T00:00:00"/>
    <s v="M"/>
    <x v="2"/>
    <x v="4"/>
    <s v="California"/>
    <s v="Placer County"/>
    <x v="7"/>
    <x v="12"/>
    <x v="1"/>
  </r>
  <r>
    <s v="TX502321"/>
    <x v="18"/>
    <x v="0"/>
    <n v="51.4"/>
    <n v="51.4"/>
    <x v="85"/>
    <d v="2025-03-29T00:00:00"/>
    <s v="F"/>
    <x v="1"/>
    <x v="1"/>
    <s v="California"/>
    <s v="Placer County"/>
    <x v="1"/>
    <x v="12"/>
    <x v="2"/>
  </r>
  <r>
    <s v="TX502322"/>
    <x v="8"/>
    <x v="1"/>
    <n v="30.2"/>
    <n v="60.4"/>
    <x v="85"/>
    <d v="2025-03-28T00:00:00"/>
    <s v="F"/>
    <x v="2"/>
    <x v="2"/>
    <s v="California"/>
    <s v="Sacramento County"/>
    <x v="3"/>
    <x v="12"/>
    <x v="2"/>
  </r>
  <r>
    <s v="TX502323"/>
    <x v="2"/>
    <x v="13"/>
    <n v="97"/>
    <n v="582"/>
    <x v="85"/>
    <d v="2025-03-31T00:00:00"/>
    <s v="F"/>
    <x v="0"/>
    <x v="2"/>
    <s v="California"/>
    <s v="San Bernardino County"/>
    <x v="5"/>
    <x v="12"/>
    <x v="2"/>
  </r>
  <r>
    <s v="TX502324"/>
    <x v="2"/>
    <x v="0"/>
    <n v="76.900000000000006"/>
    <n v="76.900000000000006"/>
    <x v="85"/>
    <d v="2025-03-28T00:00:00"/>
    <s v="M"/>
    <x v="1"/>
    <x v="2"/>
    <s v="California"/>
    <s v="San Diego County"/>
    <x v="3"/>
    <x v="12"/>
    <x v="1"/>
  </r>
  <r>
    <s v="TX502325"/>
    <x v="7"/>
    <x v="13"/>
    <n v="36.1"/>
    <n v="216.60000000000002"/>
    <x v="85"/>
    <d v="2025-03-31T00:00:00"/>
    <s v="F"/>
    <x v="0"/>
    <x v="0"/>
    <s v="California"/>
    <s v="San Diego County"/>
    <x v="5"/>
    <x v="12"/>
    <x v="2"/>
  </r>
  <r>
    <s v="TX502326"/>
    <x v="1"/>
    <x v="3"/>
    <n v="34.4"/>
    <n v="240.79999999999998"/>
    <x v="85"/>
    <d v="2025-03-27T00:00:00"/>
    <s v="F"/>
    <x v="2"/>
    <x v="1"/>
    <s v="California"/>
    <s v="Santa Clara County"/>
    <x v="7"/>
    <x v="12"/>
    <x v="2"/>
  </r>
  <r>
    <s v="TX502327"/>
    <x v="1"/>
    <x v="31"/>
    <n v="53.4"/>
    <n v="1495.2"/>
    <x v="85"/>
    <d v="2025-03-29T00:00:00"/>
    <s v="F"/>
    <x v="1"/>
    <x v="0"/>
    <s v="California"/>
    <s v="Sonoma County"/>
    <x v="1"/>
    <x v="12"/>
    <x v="2"/>
  </r>
  <r>
    <s v="TX502328"/>
    <x v="2"/>
    <x v="0"/>
    <n v="77.599999999999994"/>
    <n v="77.599999999999994"/>
    <x v="85"/>
    <d v="2025-03-28T00:00:00"/>
    <s v="F"/>
    <x v="0"/>
    <x v="1"/>
    <s v="California"/>
    <s v="Stanislaus County"/>
    <x v="3"/>
    <x v="12"/>
    <x v="2"/>
  </r>
  <r>
    <s v="TX502329"/>
    <x v="1"/>
    <x v="2"/>
    <n v="71.7"/>
    <n v="215.10000000000002"/>
    <x v="85"/>
    <d v="2025-03-30T00:00:00"/>
    <s v="F"/>
    <x v="1"/>
    <x v="0"/>
    <s v="California"/>
    <s v="Stanislaus County"/>
    <x v="2"/>
    <x v="12"/>
    <x v="2"/>
  </r>
  <r>
    <s v="TX502330"/>
    <x v="3"/>
    <x v="2"/>
    <n v="80.599999999999994"/>
    <n v="241.79999999999998"/>
    <x v="85"/>
    <d v="2025-03-28T00:00:00"/>
    <s v="M"/>
    <x v="4"/>
    <x v="1"/>
    <s v="California"/>
    <s v="Stanislaus County"/>
    <x v="3"/>
    <x v="12"/>
    <x v="1"/>
  </r>
  <r>
    <s v="TX502331"/>
    <x v="1"/>
    <x v="20"/>
    <n v="70"/>
    <n v="1050"/>
    <x v="85"/>
    <d v="2025-03-29T00:00:00"/>
    <s v="M"/>
    <x v="0"/>
    <x v="0"/>
    <s v="California"/>
    <s v="Tulare County"/>
    <x v="1"/>
    <x v="12"/>
    <x v="1"/>
  </r>
  <r>
    <s v="TX502332"/>
    <x v="4"/>
    <x v="13"/>
    <n v="27.3"/>
    <n v="163.80000000000001"/>
    <x v="85"/>
    <d v="2025-03-29T00:00:00"/>
    <s v="F"/>
    <x v="1"/>
    <x v="1"/>
    <s v="California"/>
    <s v="Fresno County"/>
    <x v="1"/>
    <x v="12"/>
    <x v="2"/>
  </r>
  <r>
    <s v="TX502333"/>
    <x v="8"/>
    <x v="21"/>
    <n v="37.6"/>
    <n v="526.4"/>
    <x v="85"/>
    <d v="2025-03-29T00:00:00"/>
    <s v="M"/>
    <x v="1"/>
    <x v="0"/>
    <s v="California"/>
    <s v="Los Angeles County"/>
    <x v="1"/>
    <x v="12"/>
    <x v="1"/>
  </r>
  <r>
    <s v="TX502334"/>
    <x v="5"/>
    <x v="2"/>
    <n v="36.6"/>
    <n v="109.80000000000001"/>
    <x v="85"/>
    <d v="2025-03-29T00:00:00"/>
    <s v="F"/>
    <x v="4"/>
    <x v="0"/>
    <s v="California"/>
    <s v="Los Angeles County"/>
    <x v="1"/>
    <x v="12"/>
    <x v="2"/>
  </r>
  <r>
    <s v="TX502335"/>
    <x v="13"/>
    <x v="0"/>
    <n v="55.2"/>
    <n v="55.2"/>
    <x v="85"/>
    <d v="2025-03-29T00:00:00"/>
    <s v="M"/>
    <x v="3"/>
    <x v="0"/>
    <s v="California"/>
    <s v="Los Angeles County"/>
    <x v="1"/>
    <x v="12"/>
    <x v="1"/>
  </r>
  <r>
    <s v="TX502336"/>
    <x v="6"/>
    <x v="9"/>
    <n v="59.9"/>
    <n v="299.5"/>
    <x v="85"/>
    <d v="2025-03-29T00:00:00"/>
    <s v="M"/>
    <x v="0"/>
    <x v="0"/>
    <s v="California"/>
    <s v="Los Angeles County"/>
    <x v="1"/>
    <x v="12"/>
    <x v="1"/>
  </r>
  <r>
    <s v="TX502337"/>
    <x v="6"/>
    <x v="0"/>
    <n v="44"/>
    <n v="44"/>
    <x v="85"/>
    <d v="2025-03-28T00:00:00"/>
    <s v="F"/>
    <x v="2"/>
    <x v="2"/>
    <s v="California"/>
    <s v="Los Angeles County"/>
    <x v="3"/>
    <x v="12"/>
    <x v="2"/>
  </r>
  <r>
    <s v="TX502338"/>
    <x v="9"/>
    <x v="1"/>
    <n v="68.7"/>
    <n v="137.4"/>
    <x v="85"/>
    <d v="2025-03-27T00:00:00"/>
    <s v="M"/>
    <x v="0"/>
    <x v="0"/>
    <s v="California"/>
    <s v="Los Angeles County"/>
    <x v="7"/>
    <x v="12"/>
    <x v="1"/>
  </r>
  <r>
    <s v="TX502339"/>
    <x v="5"/>
    <x v="1"/>
    <n v="61.6"/>
    <n v="123.2"/>
    <x v="85"/>
    <d v="2025-03-31T00:00:00"/>
    <s v="M"/>
    <x v="3"/>
    <x v="1"/>
    <s v="California"/>
    <s v="Los Angeles County"/>
    <x v="5"/>
    <x v="12"/>
    <x v="1"/>
  </r>
  <r>
    <s v="TX502340"/>
    <x v="7"/>
    <x v="3"/>
    <n v="51.8"/>
    <n v="362.59999999999997"/>
    <x v="85"/>
    <d v="2025-03-28T00:00:00"/>
    <s v="M"/>
    <x v="0"/>
    <x v="0"/>
    <s v="California"/>
    <s v="Los Angeles County"/>
    <x v="3"/>
    <x v="12"/>
    <x v="1"/>
  </r>
  <r>
    <s v="TX502341"/>
    <x v="8"/>
    <x v="7"/>
    <n v="46.2"/>
    <n v="462"/>
    <x v="85"/>
    <d v="2025-03-29T00:00:00"/>
    <s v="M"/>
    <x v="1"/>
    <x v="2"/>
    <s v="California"/>
    <s v="Los Angeles County"/>
    <x v="1"/>
    <x v="12"/>
    <x v="1"/>
  </r>
  <r>
    <s v="TX502342"/>
    <x v="0"/>
    <x v="1"/>
    <n v="19.399999999999999"/>
    <n v="38.799999999999997"/>
    <x v="85"/>
    <d v="2025-03-29T00:00:00"/>
    <s v="F"/>
    <x v="1"/>
    <x v="2"/>
    <s v="California"/>
    <s v="Sacramento County"/>
    <x v="1"/>
    <x v="12"/>
    <x v="2"/>
  </r>
  <r>
    <s v="TX502343"/>
    <x v="11"/>
    <x v="2"/>
    <n v="52.1"/>
    <n v="156.30000000000001"/>
    <x v="85"/>
    <d v="2025-03-30T00:00:00"/>
    <s v="M"/>
    <x v="3"/>
    <x v="3"/>
    <s v="California"/>
    <s v="Sacramento County"/>
    <x v="2"/>
    <x v="12"/>
    <x v="1"/>
  </r>
  <r>
    <s v="TX502344"/>
    <x v="6"/>
    <x v="0"/>
    <n v="74.900000000000006"/>
    <n v="74.900000000000006"/>
    <x v="85"/>
    <d v="2025-03-29T00:00:00"/>
    <s v="O"/>
    <x v="0"/>
    <x v="0"/>
    <s v="California"/>
    <s v="San Bernardino County"/>
    <x v="1"/>
    <x v="12"/>
    <x v="3"/>
  </r>
  <r>
    <s v="TX502345"/>
    <x v="9"/>
    <x v="3"/>
    <n v="49.6"/>
    <n v="347.2"/>
    <x v="85"/>
    <d v="2025-03-30T00:00:00"/>
    <s v="F"/>
    <x v="4"/>
    <x v="0"/>
    <s v="California"/>
    <s v="San Diego County"/>
    <x v="2"/>
    <x v="12"/>
    <x v="2"/>
  </r>
  <r>
    <s v="TX502346"/>
    <x v="16"/>
    <x v="12"/>
    <n v="82.8"/>
    <n v="331.2"/>
    <x v="86"/>
    <d v="2025-03-31T00:00:00"/>
    <s v="F"/>
    <x v="4"/>
    <x v="0"/>
    <s v="California"/>
    <s v="San Diego County"/>
    <x v="2"/>
    <x v="12"/>
    <x v="2"/>
  </r>
  <r>
    <s v="TX502347"/>
    <x v="2"/>
    <x v="0"/>
    <n v="97.7"/>
    <n v="97.7"/>
    <x v="86"/>
    <d v="2025-03-29T00:00:00"/>
    <s v="F"/>
    <x v="1"/>
    <x v="0"/>
    <s v="California"/>
    <s v="San Diego County"/>
    <x v="3"/>
    <x v="12"/>
    <x v="2"/>
  </r>
  <r>
    <s v="TX502348"/>
    <x v="6"/>
    <x v="9"/>
    <n v="83.6"/>
    <n v="418"/>
    <x v="86"/>
    <d v="2025-03-29T00:00:00"/>
    <s v="F"/>
    <x v="4"/>
    <x v="0"/>
    <s v="California"/>
    <s v="San Diego County"/>
    <x v="3"/>
    <x v="12"/>
    <x v="2"/>
  </r>
  <r>
    <s v="TX502349"/>
    <x v="8"/>
    <x v="9"/>
    <n v="23.5"/>
    <n v="117.5"/>
    <x v="86"/>
    <d v="2025-04-01T00:00:00"/>
    <s v="O"/>
    <x v="0"/>
    <x v="0"/>
    <s v="California"/>
    <s v="San Diego County"/>
    <x v="5"/>
    <x v="12"/>
    <x v="3"/>
  </r>
  <r>
    <s v="TX502350"/>
    <x v="9"/>
    <x v="2"/>
    <n v="44.6"/>
    <n v="133.80000000000001"/>
    <x v="86"/>
    <d v="2025-03-31T00:00:00"/>
    <s v="F"/>
    <x v="4"/>
    <x v="1"/>
    <s v="California"/>
    <s v="San Joaquin County"/>
    <x v="2"/>
    <x v="12"/>
    <x v="2"/>
  </r>
  <r>
    <s v="TX502351"/>
    <x v="0"/>
    <x v="2"/>
    <n v="20.100000000000001"/>
    <n v="60.300000000000004"/>
    <x v="86"/>
    <d v="2025-03-30T00:00:00"/>
    <s v="F"/>
    <x v="3"/>
    <x v="4"/>
    <s v="California"/>
    <s v="Santa Clara County"/>
    <x v="1"/>
    <x v="12"/>
    <x v="2"/>
  </r>
  <r>
    <s v="TX502352"/>
    <x v="2"/>
    <x v="9"/>
    <n v="153.6"/>
    <n v="768"/>
    <x v="86"/>
    <d v="2025-03-29T00:00:00"/>
    <s v="F"/>
    <x v="1"/>
    <x v="2"/>
    <s v="California"/>
    <s v="Shasta County"/>
    <x v="3"/>
    <x v="12"/>
    <x v="2"/>
  </r>
  <r>
    <s v="TX502353"/>
    <x v="1"/>
    <x v="1"/>
    <n v="71.8"/>
    <n v="143.6"/>
    <x v="86"/>
    <d v="2025-04-01T00:00:00"/>
    <s v="F"/>
    <x v="1"/>
    <x v="0"/>
    <s v="California"/>
    <s v="Contra Costa County"/>
    <x v="5"/>
    <x v="12"/>
    <x v="2"/>
  </r>
  <r>
    <s v="TX502354"/>
    <x v="10"/>
    <x v="0"/>
    <n v="64.7"/>
    <n v="64.7"/>
    <x v="86"/>
    <d v="2025-03-30T00:00:00"/>
    <s v=""/>
    <x v="0"/>
    <x v="1"/>
    <s v="California"/>
    <s v="Contra Costa County"/>
    <x v="1"/>
    <x v="12"/>
    <x v="0"/>
  </r>
  <r>
    <s v="TX502355"/>
    <x v="9"/>
    <x v="8"/>
    <n v="60.4"/>
    <n v="483.2"/>
    <x v="86"/>
    <d v="2025-03-30T00:00:00"/>
    <s v="F"/>
    <x v="3"/>
    <x v="2"/>
    <s v="California"/>
    <s v="Fresno County"/>
    <x v="1"/>
    <x v="12"/>
    <x v="2"/>
  </r>
  <r>
    <s v="TX502356"/>
    <x v="6"/>
    <x v="12"/>
    <n v="86"/>
    <n v="344"/>
    <x v="86"/>
    <d v="2025-03-31T00:00:00"/>
    <s v="F"/>
    <x v="2"/>
    <x v="2"/>
    <s v="California"/>
    <s v="Kern County"/>
    <x v="2"/>
    <x v="12"/>
    <x v="2"/>
  </r>
  <r>
    <s v="TX502357"/>
    <x v="12"/>
    <x v="1"/>
    <n v="42.1"/>
    <n v="84.2"/>
    <x v="86"/>
    <d v="2025-03-29T00:00:00"/>
    <s v="F"/>
    <x v="4"/>
    <x v="1"/>
    <s v="California"/>
    <s v="Kings County"/>
    <x v="3"/>
    <x v="12"/>
    <x v="2"/>
  </r>
  <r>
    <s v="TX502358"/>
    <x v="16"/>
    <x v="11"/>
    <n v="51.1"/>
    <n v="459.90000000000003"/>
    <x v="86"/>
    <d v="2025-03-29T00:00:00"/>
    <s v="M"/>
    <x v="2"/>
    <x v="1"/>
    <s v="California"/>
    <s v="Los Angeles County"/>
    <x v="3"/>
    <x v="12"/>
    <x v="1"/>
  </r>
  <r>
    <s v="TX502359"/>
    <x v="9"/>
    <x v="12"/>
    <n v="73.8"/>
    <n v="295.2"/>
    <x v="86"/>
    <d v="2025-03-29T00:00:00"/>
    <s v="M"/>
    <x v="4"/>
    <x v="0"/>
    <s v="California"/>
    <s v="Los Angeles County"/>
    <x v="3"/>
    <x v="12"/>
    <x v="1"/>
  </r>
  <r>
    <s v="TX502360"/>
    <x v="8"/>
    <x v="9"/>
    <n v="27"/>
    <n v="135"/>
    <x v="86"/>
    <d v="2025-03-31T00:00:00"/>
    <s v="F"/>
    <x v="2"/>
    <x v="2"/>
    <s v="California"/>
    <s v="Los Angeles County"/>
    <x v="2"/>
    <x v="12"/>
    <x v="2"/>
  </r>
  <r>
    <s v="TX502361"/>
    <x v="8"/>
    <x v="13"/>
    <n v="60.1"/>
    <n v="360.6"/>
    <x v="86"/>
    <d v="2025-03-29T00:00:00"/>
    <s v="M"/>
    <x v="3"/>
    <x v="0"/>
    <s v="California"/>
    <s v="Los Angeles County"/>
    <x v="3"/>
    <x v="12"/>
    <x v="1"/>
  </r>
  <r>
    <s v="TX502362"/>
    <x v="2"/>
    <x v="3"/>
    <n v="94.1"/>
    <n v="658.69999999999993"/>
    <x v="86"/>
    <d v="2025-03-30T00:00:00"/>
    <s v="F"/>
    <x v="4"/>
    <x v="1"/>
    <s v="California"/>
    <s v="Los Angeles County"/>
    <x v="1"/>
    <x v="12"/>
    <x v="2"/>
  </r>
  <r>
    <s v="TX502363"/>
    <x v="2"/>
    <x v="1"/>
    <n v="124.1"/>
    <n v="248.2"/>
    <x v="86"/>
    <d v="2025-03-28T00:00:00"/>
    <s v="F"/>
    <x v="2"/>
    <x v="3"/>
    <s v="California"/>
    <s v="Marin County"/>
    <x v="7"/>
    <x v="12"/>
    <x v="2"/>
  </r>
  <r>
    <s v="TX502364"/>
    <x v="8"/>
    <x v="12"/>
    <n v="16.899999999999999"/>
    <n v="67.599999999999994"/>
    <x v="86"/>
    <d v="2025-03-31T00:00:00"/>
    <s v="M"/>
    <x v="3"/>
    <x v="0"/>
    <s v="California"/>
    <s v="Sacramento County"/>
    <x v="2"/>
    <x v="12"/>
    <x v="1"/>
  </r>
  <r>
    <s v="TX502365"/>
    <x v="1"/>
    <x v="0"/>
    <n v="36.9"/>
    <n v="36.9"/>
    <x v="86"/>
    <d v="2025-03-29T00:00:00"/>
    <s v="M"/>
    <x v="0"/>
    <x v="0"/>
    <s v="California"/>
    <s v="Sacramento County"/>
    <x v="3"/>
    <x v="12"/>
    <x v="1"/>
  </r>
  <r>
    <s v="TX502366"/>
    <x v="9"/>
    <x v="1"/>
    <n v="22.6"/>
    <n v="45.2"/>
    <x v="86"/>
    <d v="2025-04-10T00:00:00"/>
    <s v="F"/>
    <x v="2"/>
    <x v="1"/>
    <s v="California"/>
    <s v="San Diego County"/>
    <x v="10"/>
    <x v="12"/>
    <x v="2"/>
  </r>
  <r>
    <s v="TX502367"/>
    <x v="7"/>
    <x v="12"/>
    <n v="35"/>
    <n v="140"/>
    <x v="86"/>
    <d v="2025-04-02T00:00:00"/>
    <s v="M"/>
    <x v="3"/>
    <x v="1"/>
    <s v="California"/>
    <s v="San Diego County"/>
    <x v="0"/>
    <x v="12"/>
    <x v="1"/>
  </r>
  <r>
    <s v="TX502368"/>
    <x v="9"/>
    <x v="13"/>
    <n v="63.6"/>
    <n v="381.6"/>
    <x v="86"/>
    <d v="2025-04-04T00:00:00"/>
    <s v=""/>
    <x v="1"/>
    <x v="2"/>
    <s v="California"/>
    <s v="San Diego County"/>
    <x v="6"/>
    <x v="12"/>
    <x v="0"/>
  </r>
  <r>
    <s v="TX502369"/>
    <x v="15"/>
    <x v="12"/>
    <n v="78.599999999999994"/>
    <n v="314.39999999999998"/>
    <x v="86"/>
    <d v="2025-03-29T00:00:00"/>
    <s v="M"/>
    <x v="4"/>
    <x v="1"/>
    <s v="California"/>
    <s v="San Diego County"/>
    <x v="3"/>
    <x v="12"/>
    <x v="1"/>
  </r>
  <r>
    <s v="TX502370"/>
    <x v="3"/>
    <x v="1"/>
    <n v="38.5"/>
    <n v="77"/>
    <x v="86"/>
    <d v="2025-03-29T00:00:00"/>
    <s v="M"/>
    <x v="0"/>
    <x v="2"/>
    <s v="California"/>
    <s v="San Diego County"/>
    <x v="3"/>
    <x v="12"/>
    <x v="1"/>
  </r>
  <r>
    <s v="TX502371"/>
    <x v="8"/>
    <x v="5"/>
    <n v="71.5"/>
    <n v="786.5"/>
    <x v="86"/>
    <d v="2025-03-29T00:00:00"/>
    <s v="F"/>
    <x v="1"/>
    <x v="4"/>
    <s v="California"/>
    <s v="San Diego County"/>
    <x v="3"/>
    <x v="12"/>
    <x v="2"/>
  </r>
  <r>
    <s v="TX502372"/>
    <x v="6"/>
    <x v="12"/>
    <n v="121.4"/>
    <n v="485.6"/>
    <x v="86"/>
    <d v="2025-04-01T00:00:00"/>
    <s v="M"/>
    <x v="1"/>
    <x v="2"/>
    <s v="California"/>
    <s v="San Francisco"/>
    <x v="5"/>
    <x v="12"/>
    <x v="1"/>
  </r>
  <r>
    <s v="TX502373"/>
    <x v="11"/>
    <x v="0"/>
    <n v="40.200000000000003"/>
    <n v="40.200000000000003"/>
    <x v="86"/>
    <d v="2025-03-31T00:00:00"/>
    <s v="F"/>
    <x v="0"/>
    <x v="2"/>
    <s v="California"/>
    <s v="Santa Clara County"/>
    <x v="2"/>
    <x v="12"/>
    <x v="2"/>
  </r>
  <r>
    <s v="TX502374"/>
    <x v="5"/>
    <x v="9"/>
    <n v="31.9"/>
    <n v="159.5"/>
    <x v="86"/>
    <d v="2025-03-30T00:00:00"/>
    <s v="F"/>
    <x v="2"/>
    <x v="2"/>
    <s v="California"/>
    <s v="Yolo County"/>
    <x v="1"/>
    <x v="12"/>
    <x v="2"/>
  </r>
  <r>
    <s v="TX502375"/>
    <x v="14"/>
    <x v="9"/>
    <n v="15.8"/>
    <n v="79"/>
    <x v="87"/>
    <d v="2025-03-30T00:00:00"/>
    <s v="M"/>
    <x v="3"/>
    <x v="2"/>
    <s v="California"/>
    <s v="Alameda County"/>
    <x v="3"/>
    <x v="12"/>
    <x v="1"/>
  </r>
  <r>
    <s v="TX502376"/>
    <x v="10"/>
    <x v="1"/>
    <n v="25.1"/>
    <n v="50.2"/>
    <x v="87"/>
    <d v="2025-03-31T00:00:00"/>
    <s v=""/>
    <x v="1"/>
    <x v="0"/>
    <s v="California"/>
    <s v="Alameda County"/>
    <x v="1"/>
    <x v="12"/>
    <x v="0"/>
  </r>
  <r>
    <s v="TX502377"/>
    <x v="1"/>
    <x v="44"/>
    <n v="38.1"/>
    <n v="876.30000000000007"/>
    <x v="87"/>
    <d v="2025-03-30T00:00:00"/>
    <s v="F"/>
    <x v="4"/>
    <x v="0"/>
    <s v="California"/>
    <s v="Contra Costa County"/>
    <x v="3"/>
    <x v="12"/>
    <x v="2"/>
  </r>
  <r>
    <s v="TX502378"/>
    <x v="3"/>
    <x v="1"/>
    <n v="42.2"/>
    <n v="84.4"/>
    <x v="87"/>
    <d v="2025-03-31T00:00:00"/>
    <s v="F"/>
    <x v="0"/>
    <x v="2"/>
    <s v="California"/>
    <s v="Contra Costa County"/>
    <x v="1"/>
    <x v="12"/>
    <x v="2"/>
  </r>
  <r>
    <s v="TX502379"/>
    <x v="0"/>
    <x v="7"/>
    <n v="12.3"/>
    <n v="123"/>
    <x v="87"/>
    <d v="2025-03-30T00:00:00"/>
    <s v="F"/>
    <x v="4"/>
    <x v="0"/>
    <s v="California"/>
    <s v="Fresno County"/>
    <x v="3"/>
    <x v="12"/>
    <x v="2"/>
  </r>
  <r>
    <s v="TX502380"/>
    <x v="7"/>
    <x v="0"/>
    <n v="30.2"/>
    <n v="30.2"/>
    <x v="87"/>
    <d v="2025-03-31T00:00:00"/>
    <s v="F"/>
    <x v="1"/>
    <x v="2"/>
    <s v="California"/>
    <s v="Kings County"/>
    <x v="1"/>
    <x v="12"/>
    <x v="2"/>
  </r>
  <r>
    <s v="TX502381"/>
    <x v="5"/>
    <x v="2"/>
    <n v="25.3"/>
    <n v="75.900000000000006"/>
    <x v="87"/>
    <d v="2025-04-01T00:00:00"/>
    <s v="F"/>
    <x v="2"/>
    <x v="0"/>
    <s v="California"/>
    <s v="Los Angeles County"/>
    <x v="2"/>
    <x v="12"/>
    <x v="2"/>
  </r>
  <r>
    <s v="TX502382"/>
    <x v="8"/>
    <x v="9"/>
    <n v="29.7"/>
    <n v="148.5"/>
    <x v="87"/>
    <d v="2025-03-31T00:00:00"/>
    <s v="M"/>
    <x v="3"/>
    <x v="0"/>
    <s v="California"/>
    <s v="Los Angeles County"/>
    <x v="1"/>
    <x v="12"/>
    <x v="1"/>
  </r>
  <r>
    <s v="TX502383"/>
    <x v="9"/>
    <x v="8"/>
    <n v="32.9"/>
    <n v="263.2"/>
    <x v="87"/>
    <d v="2025-03-30T00:00:00"/>
    <s v=""/>
    <x v="3"/>
    <x v="2"/>
    <s v="California"/>
    <s v="Los Angeles County"/>
    <x v="3"/>
    <x v="12"/>
    <x v="0"/>
  </r>
  <r>
    <s v="TX502384"/>
    <x v="10"/>
    <x v="1"/>
    <n v="43.6"/>
    <n v="87.2"/>
    <x v="87"/>
    <d v="2025-03-30T00:00:00"/>
    <s v="M"/>
    <x v="1"/>
    <x v="2"/>
    <s v="California"/>
    <s v="Los Angeles County"/>
    <x v="3"/>
    <x v="12"/>
    <x v="1"/>
  </r>
  <r>
    <s v="TX502385"/>
    <x v="15"/>
    <x v="12"/>
    <n v="78.400000000000006"/>
    <n v="313.60000000000002"/>
    <x v="87"/>
    <d v="2025-03-30T00:00:00"/>
    <s v="M"/>
    <x v="2"/>
    <x v="0"/>
    <s v="California"/>
    <s v="Los Angeles County"/>
    <x v="3"/>
    <x v="12"/>
    <x v="1"/>
  </r>
  <r>
    <s v="TX502386"/>
    <x v="6"/>
    <x v="1"/>
    <n v="56.5"/>
    <n v="113"/>
    <x v="87"/>
    <d v="2025-04-02T00:00:00"/>
    <s v="M"/>
    <x v="1"/>
    <x v="1"/>
    <s v="California"/>
    <s v="Los Angeles County"/>
    <x v="5"/>
    <x v="12"/>
    <x v="1"/>
  </r>
  <r>
    <s v="TX502387"/>
    <x v="16"/>
    <x v="0"/>
    <n v="36.700000000000003"/>
    <n v="36.700000000000003"/>
    <x v="87"/>
    <d v="2025-03-30T00:00:00"/>
    <s v="F"/>
    <x v="0"/>
    <x v="2"/>
    <s v="California"/>
    <s v="Los Angeles County"/>
    <x v="3"/>
    <x v="12"/>
    <x v="2"/>
  </r>
  <r>
    <s v="TX502388"/>
    <x v="2"/>
    <x v="12"/>
    <n v="103.6"/>
    <n v="414.4"/>
    <x v="87"/>
    <d v="2025-04-09T00:00:00"/>
    <s v="M"/>
    <x v="4"/>
    <x v="2"/>
    <s v="California"/>
    <s v="Los Angeles County"/>
    <x v="11"/>
    <x v="12"/>
    <x v="1"/>
  </r>
  <r>
    <s v="TX502389"/>
    <x v="8"/>
    <x v="13"/>
    <n v="16.2"/>
    <n v="97.199999999999989"/>
    <x v="87"/>
    <d v="2025-04-02T00:00:00"/>
    <s v="M"/>
    <x v="1"/>
    <x v="2"/>
    <s v="California"/>
    <s v="Sacramento County"/>
    <x v="5"/>
    <x v="12"/>
    <x v="1"/>
  </r>
  <r>
    <s v="TX502390"/>
    <x v="8"/>
    <x v="1"/>
    <n v="20.2"/>
    <n v="40.4"/>
    <x v="87"/>
    <d v="2025-03-30T00:00:00"/>
    <s v="F"/>
    <x v="0"/>
    <x v="0"/>
    <s v="California"/>
    <s v="Sacramento County"/>
    <x v="3"/>
    <x v="12"/>
    <x v="2"/>
  </r>
  <r>
    <s v="TX502391"/>
    <x v="11"/>
    <x v="1"/>
    <n v="26.9"/>
    <n v="53.8"/>
    <x v="87"/>
    <d v="2025-03-31T00:00:00"/>
    <s v="F"/>
    <x v="2"/>
    <x v="0"/>
    <s v="California"/>
    <s v="Sacramento County"/>
    <x v="1"/>
    <x v="12"/>
    <x v="2"/>
  </r>
  <r>
    <s v="TX502392"/>
    <x v="1"/>
    <x v="1"/>
    <n v="82.4"/>
    <n v="164.8"/>
    <x v="87"/>
    <d v="2025-04-01T00:00:00"/>
    <s v=""/>
    <x v="0"/>
    <x v="0"/>
    <s v="California"/>
    <s v="San Bernardino County"/>
    <x v="2"/>
    <x v="12"/>
    <x v="0"/>
  </r>
  <r>
    <s v="TX502393"/>
    <x v="2"/>
    <x v="1"/>
    <n v="117.8"/>
    <n v="235.6"/>
    <x v="87"/>
    <d v="2025-03-31T00:00:00"/>
    <s v="M"/>
    <x v="1"/>
    <x v="2"/>
    <s v="California"/>
    <s v="San Diego County"/>
    <x v="1"/>
    <x v="12"/>
    <x v="1"/>
  </r>
  <r>
    <s v="TX502394"/>
    <x v="11"/>
    <x v="12"/>
    <n v="36.700000000000003"/>
    <n v="146.80000000000001"/>
    <x v="87"/>
    <d v="2025-03-30T00:00:00"/>
    <s v="M"/>
    <x v="1"/>
    <x v="0"/>
    <s v="California"/>
    <s v="San Diego County"/>
    <x v="3"/>
    <x v="12"/>
    <x v="1"/>
  </r>
  <r>
    <s v="TX502395"/>
    <x v="17"/>
    <x v="2"/>
    <n v="46.8"/>
    <n v="140.39999999999998"/>
    <x v="87"/>
    <d v="2025-03-30T00:00:00"/>
    <s v="M"/>
    <x v="4"/>
    <x v="2"/>
    <s v="California"/>
    <s v="Santa Barbara County"/>
    <x v="3"/>
    <x v="12"/>
    <x v="1"/>
  </r>
  <r>
    <s v="TX502396"/>
    <x v="3"/>
    <x v="0"/>
    <n v="61.4"/>
    <n v="61.4"/>
    <x v="87"/>
    <d v="2025-03-30T00:00:00"/>
    <s v="M"/>
    <x v="1"/>
    <x v="0"/>
    <s v="California"/>
    <s v="Santa Barbara County"/>
    <x v="3"/>
    <x v="12"/>
    <x v="1"/>
  </r>
  <r>
    <s v="TX502397"/>
    <x v="15"/>
    <x v="1"/>
    <n v="22.9"/>
    <n v="45.8"/>
    <x v="87"/>
    <d v="2025-03-30T00:00:00"/>
    <s v="M"/>
    <x v="0"/>
    <x v="0"/>
    <s v="California"/>
    <s v="Santa Clara County"/>
    <x v="3"/>
    <x v="12"/>
    <x v="1"/>
  </r>
  <r>
    <s v="TX502398"/>
    <x v="10"/>
    <x v="1"/>
    <n v="22.1"/>
    <n v="44.2"/>
    <x v="87"/>
    <d v="2025-03-30T00:00:00"/>
    <s v="F"/>
    <x v="4"/>
    <x v="0"/>
    <s v="California"/>
    <s v="Santa Clara County"/>
    <x v="3"/>
    <x v="12"/>
    <x v="2"/>
  </r>
  <r>
    <s v="TX502399"/>
    <x v="12"/>
    <x v="1"/>
    <n v="31"/>
    <n v="62"/>
    <x v="87"/>
    <d v="2025-03-31T00:00:00"/>
    <s v="F"/>
    <x v="2"/>
    <x v="0"/>
    <s v="California"/>
    <s v="Sonoma County"/>
    <x v="1"/>
    <x v="12"/>
    <x v="2"/>
  </r>
  <r>
    <s v="TX502400"/>
    <x v="18"/>
    <x v="1"/>
    <n v="84.2"/>
    <n v="168.4"/>
    <x v="87"/>
    <d v="2025-03-31T00:00:00"/>
    <s v="M"/>
    <x v="2"/>
    <x v="2"/>
    <s v="California"/>
    <s v="Ventura County"/>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A44EF-37A2-4103-B557-F97C709CF6B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0"/>
        <item x="1"/>
        <item x="2"/>
        <item x="5"/>
        <item x="4"/>
        <item x="34"/>
        <item x="35"/>
        <item x="14"/>
        <item x="24"/>
        <item x="18"/>
        <item x="30"/>
        <item x="12"/>
        <item x="16"/>
        <item x="7"/>
        <item x="3"/>
        <item x="17"/>
        <item x="8"/>
        <item x="6"/>
        <item x="23"/>
        <item x="32"/>
        <item x="26"/>
        <item x="19"/>
        <item x="22"/>
        <item x="20"/>
        <item x="29"/>
        <item x="15"/>
        <item x="11"/>
        <item x="25"/>
        <item x="10"/>
        <item x="27"/>
        <item x="21"/>
        <item x="13"/>
        <item x="9"/>
        <item x="28"/>
        <item x="33"/>
        <item x="31"/>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0B6EA-EBFD-4122-8F3A-876ACA7CAF3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7">
        <item x="0"/>
        <item x="1"/>
        <item x="2"/>
        <item x="5"/>
        <item x="4"/>
        <item x="34"/>
        <item x="35"/>
        <item x="14"/>
        <item x="24"/>
        <item x="18"/>
        <item x="30"/>
        <item x="12"/>
        <item x="16"/>
        <item x="7"/>
        <item x="3"/>
        <item x="17"/>
        <item x="8"/>
        <item x="6"/>
        <item x="23"/>
        <item x="32"/>
        <item x="26"/>
        <item x="19"/>
        <item x="22"/>
        <item x="20"/>
        <item x="29"/>
        <item x="15"/>
        <item x="11"/>
        <item x="25"/>
        <item x="10"/>
        <item x="27"/>
        <item x="21"/>
        <item x="13"/>
        <item x="9"/>
        <item x="28"/>
        <item x="33"/>
        <item x="31"/>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2AB555-A931-4553-B867-F9390C3F0418}"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h="1"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7">
        <item x="0"/>
        <item x="1"/>
        <item x="2"/>
        <item x="5"/>
        <item x="4"/>
        <item x="34"/>
        <item x="35"/>
        <item x="14"/>
        <item x="24"/>
        <item x="18"/>
        <item x="30"/>
        <item x="12"/>
        <item x="16"/>
        <item x="7"/>
        <item x="3"/>
        <item x="17"/>
        <item x="8"/>
        <item x="6"/>
        <item x="23"/>
        <item x="32"/>
        <item x="26"/>
        <item x="19"/>
        <item x="22"/>
        <item x="20"/>
        <item x="29"/>
        <item x="15"/>
        <item x="11"/>
        <item x="25"/>
        <item x="10"/>
        <item x="27"/>
        <item x="21"/>
        <item x="13"/>
        <item x="9"/>
        <item x="28"/>
        <item x="33"/>
        <item x="31"/>
        <item t="default"/>
      </items>
    </pivotField>
  </pivotFields>
  <rowFields count="1">
    <field x="8"/>
  </rowFields>
  <rowItems count="2">
    <i>
      <x/>
    </i>
    <i t="grand">
      <x/>
    </i>
  </rowItems>
  <colFields count="1">
    <field x="14"/>
  </colFields>
  <colItems count="2">
    <i>
      <x/>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B78F3D-370D-4E60-8F30-FB14F64BAA37}"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37">
        <item x="0"/>
        <item x="1"/>
        <item x="2"/>
        <item x="5"/>
        <item x="4"/>
        <item x="34"/>
        <item x="35"/>
        <item x="14"/>
        <item x="24"/>
        <item x="18"/>
        <item x="30"/>
        <item x="12"/>
        <item x="16"/>
        <item x="7"/>
        <item x="3"/>
        <item x="17"/>
        <item x="8"/>
        <item x="6"/>
        <item x="23"/>
        <item x="32"/>
        <item x="26"/>
        <item x="19"/>
        <item x="22"/>
        <item x="20"/>
        <item x="29"/>
        <item x="15"/>
        <item x="11"/>
        <item x="25"/>
        <item x="10"/>
        <item x="27"/>
        <item x="21"/>
        <item x="13"/>
        <item x="9"/>
        <item x="28"/>
        <item x="33"/>
        <item x="31"/>
        <item t="default"/>
      </items>
    </pivotField>
  </pivotFields>
  <rowFields count="1">
    <field x="17"/>
  </rowFields>
  <rowItems count="18">
    <i>
      <x/>
    </i>
    <i>
      <x v="1"/>
    </i>
    <i>
      <x v="2"/>
    </i>
    <i>
      <x v="3"/>
    </i>
    <i>
      <x v="4"/>
    </i>
    <i>
      <x v="5"/>
    </i>
    <i>
      <x v="6"/>
    </i>
    <i>
      <x v="8"/>
    </i>
    <i>
      <x v="9"/>
    </i>
    <i>
      <x v="12"/>
    </i>
    <i>
      <x v="13"/>
    </i>
    <i>
      <x v="15"/>
    </i>
    <i>
      <x v="16"/>
    </i>
    <i>
      <x v="22"/>
    </i>
    <i>
      <x v="26"/>
    </i>
    <i>
      <x v="28"/>
    </i>
    <i>
      <x v="30"/>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AA11C-FADF-430D-B5EB-E59315BA1A0D}"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3:I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Row"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14"/>
  </rowFields>
  <rowItems count="2">
    <i>
      <x/>
    </i>
    <i t="grand">
      <x/>
    </i>
  </rowItems>
  <colItems count="1">
    <i/>
  </colItems>
  <dataFields count="1">
    <dataField name="Sum of Quantity" fld="2" baseField="0" baseItem="0"/>
  </dataFields>
  <chartFormats count="18">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14" count="1" selected="0">
            <x v="0"/>
          </reference>
        </references>
      </pivotArea>
    </chartFormat>
    <chartFormat chart="21" format="3">
      <pivotArea type="data" outline="0" fieldPosition="0">
        <references count="2">
          <reference field="4294967294" count="1" selected="0">
            <x v="0"/>
          </reference>
          <reference field="14" count="1" selected="0">
            <x v="1"/>
          </reference>
        </references>
      </pivotArea>
    </chartFormat>
    <chartFormat chart="21" format="4">
      <pivotArea type="data" outline="0" fieldPosition="0">
        <references count="2">
          <reference field="4294967294" count="1" selected="0">
            <x v="0"/>
          </reference>
          <reference field="14" count="1" selected="0">
            <x v="2"/>
          </reference>
        </references>
      </pivotArea>
    </chartFormat>
    <chartFormat chart="21" format="5">
      <pivotArea type="data" outline="0" fieldPosition="0">
        <references count="2">
          <reference field="4294967294" count="1" selected="0">
            <x v="0"/>
          </reference>
          <reference field="14" count="1" selected="0">
            <x v="3"/>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4" count="1" selected="0">
            <x v="0"/>
          </reference>
        </references>
      </pivotArea>
    </chartFormat>
    <chartFormat chart="25" format="8">
      <pivotArea type="data" outline="0" fieldPosition="0">
        <references count="2">
          <reference field="4294967294" count="1" selected="0">
            <x v="0"/>
          </reference>
          <reference field="14" count="1" selected="0">
            <x v="1"/>
          </reference>
        </references>
      </pivotArea>
    </chartFormat>
    <chartFormat chart="25" format="9">
      <pivotArea type="data" outline="0" fieldPosition="0">
        <references count="2">
          <reference field="4294967294" count="1" selected="0">
            <x v="0"/>
          </reference>
          <reference field="14" count="1" selected="0">
            <x v="2"/>
          </reference>
        </references>
      </pivotArea>
    </chartFormat>
    <chartFormat chart="2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7E45B4-AC3D-454D-BA64-176353B48C64}"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1"/>
  </rowFields>
  <rowItems count="21">
    <i>
      <x v="6"/>
    </i>
    <i>
      <x v="13"/>
    </i>
    <i>
      <x v="18"/>
    </i>
    <i>
      <x v="16"/>
    </i>
    <i>
      <x v="14"/>
    </i>
    <i>
      <x v="12"/>
    </i>
    <i>
      <x v="4"/>
    </i>
    <i>
      <x v="1"/>
    </i>
    <i>
      <x v="11"/>
    </i>
    <i>
      <x v="5"/>
    </i>
    <i>
      <x v="2"/>
    </i>
    <i>
      <x v="8"/>
    </i>
    <i>
      <x v="3"/>
    </i>
    <i>
      <x v="19"/>
    </i>
    <i>
      <x v="9"/>
    </i>
    <i>
      <x v="15"/>
    </i>
    <i>
      <x v="17"/>
    </i>
    <i>
      <x v="10"/>
    </i>
    <i>
      <x/>
    </i>
    <i>
      <x v="7"/>
    </i>
    <i t="grand">
      <x/>
    </i>
  </rowItems>
  <colFields count="1">
    <field x="14"/>
  </colFields>
  <colItems count="2">
    <i>
      <x/>
    </i>
    <i t="grand">
      <x/>
    </i>
  </colItems>
  <dataFields count="1">
    <dataField name="Sum of Quantity" fld="2" baseField="0" baseItem="0"/>
  </dataFields>
  <chartFormats count="4">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FA76CE-500B-4CDF-AF6D-ECD1067D3E9C}"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K1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Row"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axis="axisCol"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9"/>
  </rowFields>
  <rowItems count="6">
    <i>
      <x/>
    </i>
    <i>
      <x v="1"/>
    </i>
    <i>
      <x v="2"/>
    </i>
    <i>
      <x v="3"/>
    </i>
    <i>
      <x v="4"/>
    </i>
    <i t="grand">
      <x/>
    </i>
  </rowItems>
  <colFields count="1">
    <field x="15"/>
  </colFields>
  <colItems count="88">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2"/>
    </i>
    <i>
      <x v="83"/>
    </i>
    <i>
      <x v="84"/>
    </i>
    <i>
      <x v="85"/>
    </i>
    <i>
      <x v="86"/>
    </i>
    <i>
      <x v="87"/>
    </i>
    <i>
      <x v="88"/>
    </i>
    <i>
      <x v="89"/>
    </i>
    <i t="grand">
      <x/>
    </i>
  </colItems>
  <dataFields count="1">
    <dataField name="Count of TX ID" fld="0" subtotal="count" baseField="0" baseItem="0"/>
  </dataFields>
  <chartFormats count="352">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2">
          <reference field="4294967294" count="1" selected="0">
            <x v="0"/>
          </reference>
          <reference field="15" count="1" selected="0">
            <x v="2"/>
          </reference>
        </references>
      </pivotArea>
    </chartFormat>
    <chartFormat chart="13" format="4" series="1">
      <pivotArea type="data" outline="0" fieldPosition="0">
        <references count="2">
          <reference field="4294967294" count="1" selected="0">
            <x v="0"/>
          </reference>
          <reference field="15" count="1" selected="0">
            <x v="3"/>
          </reference>
        </references>
      </pivotArea>
    </chartFormat>
    <chartFormat chart="13" format="5" series="1">
      <pivotArea type="data" outline="0" fieldPosition="0">
        <references count="2">
          <reference field="4294967294" count="1" selected="0">
            <x v="0"/>
          </reference>
          <reference field="15" count="1" selected="0">
            <x v="4"/>
          </reference>
        </references>
      </pivotArea>
    </chartFormat>
    <chartFormat chart="13" format="6" series="1">
      <pivotArea type="data" outline="0" fieldPosition="0">
        <references count="2">
          <reference field="4294967294" count="1" selected="0">
            <x v="0"/>
          </reference>
          <reference field="15" count="1" selected="0">
            <x v="5"/>
          </reference>
        </references>
      </pivotArea>
    </chartFormat>
    <chartFormat chart="13" format="7" series="1">
      <pivotArea type="data" outline="0" fieldPosition="0">
        <references count="2">
          <reference field="4294967294" count="1" selected="0">
            <x v="0"/>
          </reference>
          <reference field="15" count="1" selected="0">
            <x v="6"/>
          </reference>
        </references>
      </pivotArea>
    </chartFormat>
    <chartFormat chart="13" format="8" series="1">
      <pivotArea type="data" outline="0" fieldPosition="0">
        <references count="2">
          <reference field="4294967294" count="1" selected="0">
            <x v="0"/>
          </reference>
          <reference field="15" count="1" selected="0">
            <x v="7"/>
          </reference>
        </references>
      </pivotArea>
    </chartFormat>
    <chartFormat chart="13" format="9" series="1">
      <pivotArea type="data" outline="0" fieldPosition="0">
        <references count="2">
          <reference field="4294967294" count="1" selected="0">
            <x v="0"/>
          </reference>
          <reference field="15" count="1" selected="0">
            <x v="8"/>
          </reference>
        </references>
      </pivotArea>
    </chartFormat>
    <chartFormat chart="13" format="10" series="1">
      <pivotArea type="data" outline="0" fieldPosition="0">
        <references count="2">
          <reference field="4294967294" count="1" selected="0">
            <x v="0"/>
          </reference>
          <reference field="15" count="1" selected="0">
            <x v="9"/>
          </reference>
        </references>
      </pivotArea>
    </chartFormat>
    <chartFormat chart="13" format="11" series="1">
      <pivotArea type="data" outline="0" fieldPosition="0">
        <references count="2">
          <reference field="4294967294" count="1" selected="0">
            <x v="0"/>
          </reference>
          <reference field="15" count="1" selected="0">
            <x v="10"/>
          </reference>
        </references>
      </pivotArea>
    </chartFormat>
    <chartFormat chart="13" format="12" series="1">
      <pivotArea type="data" outline="0" fieldPosition="0">
        <references count="2">
          <reference field="4294967294" count="1" selected="0">
            <x v="0"/>
          </reference>
          <reference field="15" count="1" selected="0">
            <x v="11"/>
          </reference>
        </references>
      </pivotArea>
    </chartFormat>
    <chartFormat chart="13" format="13" series="1">
      <pivotArea type="data" outline="0" fieldPosition="0">
        <references count="2">
          <reference field="4294967294" count="1" selected="0">
            <x v="0"/>
          </reference>
          <reference field="15" count="1" selected="0">
            <x v="12"/>
          </reference>
        </references>
      </pivotArea>
    </chartFormat>
    <chartFormat chart="13" format="14" series="1">
      <pivotArea type="data" outline="0" fieldPosition="0">
        <references count="2">
          <reference field="4294967294" count="1" selected="0">
            <x v="0"/>
          </reference>
          <reference field="15" count="1" selected="0">
            <x v="13"/>
          </reference>
        </references>
      </pivotArea>
    </chartFormat>
    <chartFormat chart="13" format="15" series="1">
      <pivotArea type="data" outline="0" fieldPosition="0">
        <references count="2">
          <reference field="4294967294" count="1" selected="0">
            <x v="0"/>
          </reference>
          <reference field="15" count="1" selected="0">
            <x v="14"/>
          </reference>
        </references>
      </pivotArea>
    </chartFormat>
    <chartFormat chart="13" format="16" series="1">
      <pivotArea type="data" outline="0" fieldPosition="0">
        <references count="2">
          <reference field="4294967294" count="1" selected="0">
            <x v="0"/>
          </reference>
          <reference field="15" count="1" selected="0">
            <x v="15"/>
          </reference>
        </references>
      </pivotArea>
    </chartFormat>
    <chartFormat chart="13" format="17" series="1">
      <pivotArea type="data" outline="0" fieldPosition="0">
        <references count="2">
          <reference field="4294967294" count="1" selected="0">
            <x v="0"/>
          </reference>
          <reference field="15" count="1" selected="0">
            <x v="16"/>
          </reference>
        </references>
      </pivotArea>
    </chartFormat>
    <chartFormat chart="13" format="18" series="1">
      <pivotArea type="data" outline="0" fieldPosition="0">
        <references count="2">
          <reference field="4294967294" count="1" selected="0">
            <x v="0"/>
          </reference>
          <reference field="15" count="1" selected="0">
            <x v="17"/>
          </reference>
        </references>
      </pivotArea>
    </chartFormat>
    <chartFormat chart="13" format="19" series="1">
      <pivotArea type="data" outline="0" fieldPosition="0">
        <references count="2">
          <reference field="4294967294" count="1" selected="0">
            <x v="0"/>
          </reference>
          <reference field="15" count="1" selected="0">
            <x v="18"/>
          </reference>
        </references>
      </pivotArea>
    </chartFormat>
    <chartFormat chart="13" format="20" series="1">
      <pivotArea type="data" outline="0" fieldPosition="0">
        <references count="2">
          <reference field="4294967294" count="1" selected="0">
            <x v="0"/>
          </reference>
          <reference field="15" count="1" selected="0">
            <x v="19"/>
          </reference>
        </references>
      </pivotArea>
    </chartFormat>
    <chartFormat chart="13" format="21" series="1">
      <pivotArea type="data" outline="0" fieldPosition="0">
        <references count="2">
          <reference field="4294967294" count="1" selected="0">
            <x v="0"/>
          </reference>
          <reference field="15" count="1" selected="0">
            <x v="20"/>
          </reference>
        </references>
      </pivotArea>
    </chartFormat>
    <chartFormat chart="13" format="22" series="1">
      <pivotArea type="data" outline="0" fieldPosition="0">
        <references count="2">
          <reference field="4294967294" count="1" selected="0">
            <x v="0"/>
          </reference>
          <reference field="15" count="1" selected="0">
            <x v="21"/>
          </reference>
        </references>
      </pivotArea>
    </chartFormat>
    <chartFormat chart="13" format="23" series="1">
      <pivotArea type="data" outline="0" fieldPosition="0">
        <references count="2">
          <reference field="4294967294" count="1" selected="0">
            <x v="0"/>
          </reference>
          <reference field="15" count="1" selected="0">
            <x v="22"/>
          </reference>
        </references>
      </pivotArea>
    </chartFormat>
    <chartFormat chart="13" format="24" series="1">
      <pivotArea type="data" outline="0" fieldPosition="0">
        <references count="2">
          <reference field="4294967294" count="1" selected="0">
            <x v="0"/>
          </reference>
          <reference field="15" count="1" selected="0">
            <x v="23"/>
          </reference>
        </references>
      </pivotArea>
    </chartFormat>
    <chartFormat chart="13" format="25" series="1">
      <pivotArea type="data" outline="0" fieldPosition="0">
        <references count="2">
          <reference field="4294967294" count="1" selected="0">
            <x v="0"/>
          </reference>
          <reference field="15" count="1" selected="0">
            <x v="24"/>
          </reference>
        </references>
      </pivotArea>
    </chartFormat>
    <chartFormat chart="13" format="26" series="1">
      <pivotArea type="data" outline="0" fieldPosition="0">
        <references count="2">
          <reference field="4294967294" count="1" selected="0">
            <x v="0"/>
          </reference>
          <reference field="15" count="1" selected="0">
            <x v="25"/>
          </reference>
        </references>
      </pivotArea>
    </chartFormat>
    <chartFormat chart="13" format="27" series="1">
      <pivotArea type="data" outline="0" fieldPosition="0">
        <references count="2">
          <reference field="4294967294" count="1" selected="0">
            <x v="0"/>
          </reference>
          <reference field="15" count="1" selected="0">
            <x v="26"/>
          </reference>
        </references>
      </pivotArea>
    </chartFormat>
    <chartFormat chart="13" format="28" series="1">
      <pivotArea type="data" outline="0" fieldPosition="0">
        <references count="2">
          <reference field="4294967294" count="1" selected="0">
            <x v="0"/>
          </reference>
          <reference field="15" count="1" selected="0">
            <x v="27"/>
          </reference>
        </references>
      </pivotArea>
    </chartFormat>
    <chartFormat chart="13" format="29" series="1">
      <pivotArea type="data" outline="0" fieldPosition="0">
        <references count="2">
          <reference field="4294967294" count="1" selected="0">
            <x v="0"/>
          </reference>
          <reference field="15" count="1" selected="0">
            <x v="28"/>
          </reference>
        </references>
      </pivotArea>
    </chartFormat>
    <chartFormat chart="13" format="30" series="1">
      <pivotArea type="data" outline="0" fieldPosition="0">
        <references count="2">
          <reference field="4294967294" count="1" selected="0">
            <x v="0"/>
          </reference>
          <reference field="15" count="1" selected="0">
            <x v="29"/>
          </reference>
        </references>
      </pivotArea>
    </chartFormat>
    <chartFormat chart="13" format="31" series="1">
      <pivotArea type="data" outline="0" fieldPosition="0">
        <references count="2">
          <reference field="4294967294" count="1" selected="0">
            <x v="0"/>
          </reference>
          <reference field="15" count="1" selected="0">
            <x v="30"/>
          </reference>
        </references>
      </pivotArea>
    </chartFormat>
    <chartFormat chart="13" format="32" series="1">
      <pivotArea type="data" outline="0" fieldPosition="0">
        <references count="2">
          <reference field="4294967294" count="1" selected="0">
            <x v="0"/>
          </reference>
          <reference field="15" count="1" selected="0">
            <x v="31"/>
          </reference>
        </references>
      </pivotArea>
    </chartFormat>
    <chartFormat chart="13" format="33" series="1">
      <pivotArea type="data" outline="0" fieldPosition="0">
        <references count="2">
          <reference field="4294967294" count="1" selected="0">
            <x v="0"/>
          </reference>
          <reference field="15" count="1" selected="0">
            <x v="32"/>
          </reference>
        </references>
      </pivotArea>
    </chartFormat>
    <chartFormat chart="13" format="34" series="1">
      <pivotArea type="data" outline="0" fieldPosition="0">
        <references count="2">
          <reference field="4294967294" count="1" selected="0">
            <x v="0"/>
          </reference>
          <reference field="15" count="1" selected="0">
            <x v="33"/>
          </reference>
        </references>
      </pivotArea>
    </chartFormat>
    <chartFormat chart="13" format="35" series="1">
      <pivotArea type="data" outline="0" fieldPosition="0">
        <references count="2">
          <reference field="4294967294" count="1" selected="0">
            <x v="0"/>
          </reference>
          <reference field="15" count="1" selected="0">
            <x v="34"/>
          </reference>
        </references>
      </pivotArea>
    </chartFormat>
    <chartFormat chart="13" format="36" series="1">
      <pivotArea type="data" outline="0" fieldPosition="0">
        <references count="2">
          <reference field="4294967294" count="1" selected="0">
            <x v="0"/>
          </reference>
          <reference field="15" count="1" selected="0">
            <x v="35"/>
          </reference>
        </references>
      </pivotArea>
    </chartFormat>
    <chartFormat chart="13" format="37" series="1">
      <pivotArea type="data" outline="0" fieldPosition="0">
        <references count="2">
          <reference field="4294967294" count="1" selected="0">
            <x v="0"/>
          </reference>
          <reference field="15" count="1" selected="0">
            <x v="36"/>
          </reference>
        </references>
      </pivotArea>
    </chartFormat>
    <chartFormat chart="13" format="38" series="1">
      <pivotArea type="data" outline="0" fieldPosition="0">
        <references count="2">
          <reference field="4294967294" count="1" selected="0">
            <x v="0"/>
          </reference>
          <reference field="15" count="1" selected="0">
            <x v="37"/>
          </reference>
        </references>
      </pivotArea>
    </chartFormat>
    <chartFormat chart="13" format="39" series="1">
      <pivotArea type="data" outline="0" fieldPosition="0">
        <references count="2">
          <reference field="4294967294" count="1" selected="0">
            <x v="0"/>
          </reference>
          <reference field="15" count="1" selected="0">
            <x v="38"/>
          </reference>
        </references>
      </pivotArea>
    </chartFormat>
    <chartFormat chart="13" format="40" series="1">
      <pivotArea type="data" outline="0" fieldPosition="0">
        <references count="2">
          <reference field="4294967294" count="1" selected="0">
            <x v="0"/>
          </reference>
          <reference field="15" count="1" selected="0">
            <x v="39"/>
          </reference>
        </references>
      </pivotArea>
    </chartFormat>
    <chartFormat chart="13" format="41" series="1">
      <pivotArea type="data" outline="0" fieldPosition="0">
        <references count="2">
          <reference field="4294967294" count="1" selected="0">
            <x v="0"/>
          </reference>
          <reference field="15" count="1" selected="0">
            <x v="40"/>
          </reference>
        </references>
      </pivotArea>
    </chartFormat>
    <chartFormat chart="13" format="42" series="1">
      <pivotArea type="data" outline="0" fieldPosition="0">
        <references count="2">
          <reference field="4294967294" count="1" selected="0">
            <x v="0"/>
          </reference>
          <reference field="15" count="1" selected="0">
            <x v="41"/>
          </reference>
        </references>
      </pivotArea>
    </chartFormat>
    <chartFormat chart="13" format="43" series="1">
      <pivotArea type="data" outline="0" fieldPosition="0">
        <references count="2">
          <reference field="4294967294" count="1" selected="0">
            <x v="0"/>
          </reference>
          <reference field="15" count="1" selected="0">
            <x v="42"/>
          </reference>
        </references>
      </pivotArea>
    </chartFormat>
    <chartFormat chart="13" format="44" series="1">
      <pivotArea type="data" outline="0" fieldPosition="0">
        <references count="2">
          <reference field="4294967294" count="1" selected="0">
            <x v="0"/>
          </reference>
          <reference field="15" count="1" selected="0">
            <x v="43"/>
          </reference>
        </references>
      </pivotArea>
    </chartFormat>
    <chartFormat chart="13" format="45" series="1">
      <pivotArea type="data" outline="0" fieldPosition="0">
        <references count="2">
          <reference field="4294967294" count="1" selected="0">
            <x v="0"/>
          </reference>
          <reference field="15" count="1" selected="0">
            <x v="44"/>
          </reference>
        </references>
      </pivotArea>
    </chartFormat>
    <chartFormat chart="13" format="46" series="1">
      <pivotArea type="data" outline="0" fieldPosition="0">
        <references count="2">
          <reference field="4294967294" count="1" selected="0">
            <x v="0"/>
          </reference>
          <reference field="15" count="1" selected="0">
            <x v="45"/>
          </reference>
        </references>
      </pivotArea>
    </chartFormat>
    <chartFormat chart="13" format="47" series="1">
      <pivotArea type="data" outline="0" fieldPosition="0">
        <references count="2">
          <reference field="4294967294" count="1" selected="0">
            <x v="0"/>
          </reference>
          <reference field="15" count="1" selected="0">
            <x v="46"/>
          </reference>
        </references>
      </pivotArea>
    </chartFormat>
    <chartFormat chart="13" format="48" series="1">
      <pivotArea type="data" outline="0" fieldPosition="0">
        <references count="2">
          <reference field="4294967294" count="1" selected="0">
            <x v="0"/>
          </reference>
          <reference field="15" count="1" selected="0">
            <x v="47"/>
          </reference>
        </references>
      </pivotArea>
    </chartFormat>
    <chartFormat chart="13" format="49" series="1">
      <pivotArea type="data" outline="0" fieldPosition="0">
        <references count="2">
          <reference field="4294967294" count="1" selected="0">
            <x v="0"/>
          </reference>
          <reference field="15" count="1" selected="0">
            <x v="48"/>
          </reference>
        </references>
      </pivotArea>
    </chartFormat>
    <chartFormat chart="13" format="50" series="1">
      <pivotArea type="data" outline="0" fieldPosition="0">
        <references count="2">
          <reference field="4294967294" count="1" selected="0">
            <x v="0"/>
          </reference>
          <reference field="15" count="1" selected="0">
            <x v="49"/>
          </reference>
        </references>
      </pivotArea>
    </chartFormat>
    <chartFormat chart="13" format="51" series="1">
      <pivotArea type="data" outline="0" fieldPosition="0">
        <references count="2">
          <reference field="4294967294" count="1" selected="0">
            <x v="0"/>
          </reference>
          <reference field="15" count="1" selected="0">
            <x v="50"/>
          </reference>
        </references>
      </pivotArea>
    </chartFormat>
    <chartFormat chart="13" format="52" series="1">
      <pivotArea type="data" outline="0" fieldPosition="0">
        <references count="2">
          <reference field="4294967294" count="1" selected="0">
            <x v="0"/>
          </reference>
          <reference field="15" count="1" selected="0">
            <x v="51"/>
          </reference>
        </references>
      </pivotArea>
    </chartFormat>
    <chartFormat chart="13" format="53" series="1">
      <pivotArea type="data" outline="0" fieldPosition="0">
        <references count="2">
          <reference field="4294967294" count="1" selected="0">
            <x v="0"/>
          </reference>
          <reference field="15" count="1" selected="0">
            <x v="52"/>
          </reference>
        </references>
      </pivotArea>
    </chartFormat>
    <chartFormat chart="13" format="54" series="1">
      <pivotArea type="data" outline="0" fieldPosition="0">
        <references count="2">
          <reference field="4294967294" count="1" selected="0">
            <x v="0"/>
          </reference>
          <reference field="15" count="1" selected="0">
            <x v="53"/>
          </reference>
        </references>
      </pivotArea>
    </chartFormat>
    <chartFormat chart="13" format="55" series="1">
      <pivotArea type="data" outline="0" fieldPosition="0">
        <references count="2">
          <reference field="4294967294" count="1" selected="0">
            <x v="0"/>
          </reference>
          <reference field="15" count="1" selected="0">
            <x v="54"/>
          </reference>
        </references>
      </pivotArea>
    </chartFormat>
    <chartFormat chart="13" format="56" series="1">
      <pivotArea type="data" outline="0" fieldPosition="0">
        <references count="2">
          <reference field="4294967294" count="1" selected="0">
            <x v="0"/>
          </reference>
          <reference field="15" count="1" selected="0">
            <x v="55"/>
          </reference>
        </references>
      </pivotArea>
    </chartFormat>
    <chartFormat chart="13" format="57" series="1">
      <pivotArea type="data" outline="0" fieldPosition="0">
        <references count="2">
          <reference field="4294967294" count="1" selected="0">
            <x v="0"/>
          </reference>
          <reference field="15" count="1" selected="0">
            <x v="56"/>
          </reference>
        </references>
      </pivotArea>
    </chartFormat>
    <chartFormat chart="13" format="58" series="1">
      <pivotArea type="data" outline="0" fieldPosition="0">
        <references count="2">
          <reference field="4294967294" count="1" selected="0">
            <x v="0"/>
          </reference>
          <reference field="15" count="1" selected="0">
            <x v="57"/>
          </reference>
        </references>
      </pivotArea>
    </chartFormat>
    <chartFormat chart="13" format="59" series="1">
      <pivotArea type="data" outline="0" fieldPosition="0">
        <references count="2">
          <reference field="4294967294" count="1" selected="0">
            <x v="0"/>
          </reference>
          <reference field="15" count="1" selected="0">
            <x v="58"/>
          </reference>
        </references>
      </pivotArea>
    </chartFormat>
    <chartFormat chart="13" format="60" series="1">
      <pivotArea type="data" outline="0" fieldPosition="0">
        <references count="2">
          <reference field="4294967294" count="1" selected="0">
            <x v="0"/>
          </reference>
          <reference field="15" count="1" selected="0">
            <x v="59"/>
          </reference>
        </references>
      </pivotArea>
    </chartFormat>
    <chartFormat chart="13" format="61" series="1">
      <pivotArea type="data" outline="0" fieldPosition="0">
        <references count="2">
          <reference field="4294967294" count="1" selected="0">
            <x v="0"/>
          </reference>
          <reference field="15" count="1" selected="0">
            <x v="61"/>
          </reference>
        </references>
      </pivotArea>
    </chartFormat>
    <chartFormat chart="13" format="62" series="1">
      <pivotArea type="data" outline="0" fieldPosition="0">
        <references count="2">
          <reference field="4294967294" count="1" selected="0">
            <x v="0"/>
          </reference>
          <reference field="15" count="1" selected="0">
            <x v="62"/>
          </reference>
        </references>
      </pivotArea>
    </chartFormat>
    <chartFormat chart="13" format="63" series="1">
      <pivotArea type="data" outline="0" fieldPosition="0">
        <references count="2">
          <reference field="4294967294" count="1" selected="0">
            <x v="0"/>
          </reference>
          <reference field="15" count="1" selected="0">
            <x v="63"/>
          </reference>
        </references>
      </pivotArea>
    </chartFormat>
    <chartFormat chart="13" format="64" series="1">
      <pivotArea type="data" outline="0" fieldPosition="0">
        <references count="2">
          <reference field="4294967294" count="1" selected="0">
            <x v="0"/>
          </reference>
          <reference field="15" count="1" selected="0">
            <x v="64"/>
          </reference>
        </references>
      </pivotArea>
    </chartFormat>
    <chartFormat chart="13" format="65" series="1">
      <pivotArea type="data" outline="0" fieldPosition="0">
        <references count="2">
          <reference field="4294967294" count="1" selected="0">
            <x v="0"/>
          </reference>
          <reference field="15" count="1" selected="0">
            <x v="65"/>
          </reference>
        </references>
      </pivotArea>
    </chartFormat>
    <chartFormat chart="13" format="66" series="1">
      <pivotArea type="data" outline="0" fieldPosition="0">
        <references count="2">
          <reference field="4294967294" count="1" selected="0">
            <x v="0"/>
          </reference>
          <reference field="15" count="1" selected="0">
            <x v="66"/>
          </reference>
        </references>
      </pivotArea>
    </chartFormat>
    <chartFormat chart="13" format="67" series="1">
      <pivotArea type="data" outline="0" fieldPosition="0">
        <references count="2">
          <reference field="4294967294" count="1" selected="0">
            <x v="0"/>
          </reference>
          <reference field="15" count="1" selected="0">
            <x v="67"/>
          </reference>
        </references>
      </pivotArea>
    </chartFormat>
    <chartFormat chart="13" format="68" series="1">
      <pivotArea type="data" outline="0" fieldPosition="0">
        <references count="2">
          <reference field="4294967294" count="1" selected="0">
            <x v="0"/>
          </reference>
          <reference field="15" count="1" selected="0">
            <x v="68"/>
          </reference>
        </references>
      </pivotArea>
    </chartFormat>
    <chartFormat chart="13" format="69" series="1">
      <pivotArea type="data" outline="0" fieldPosition="0">
        <references count="2">
          <reference field="4294967294" count="1" selected="0">
            <x v="0"/>
          </reference>
          <reference field="15" count="1" selected="0">
            <x v="69"/>
          </reference>
        </references>
      </pivotArea>
    </chartFormat>
    <chartFormat chart="13" format="70" series="1">
      <pivotArea type="data" outline="0" fieldPosition="0">
        <references count="2">
          <reference field="4294967294" count="1" selected="0">
            <x v="0"/>
          </reference>
          <reference field="15" count="1" selected="0">
            <x v="70"/>
          </reference>
        </references>
      </pivotArea>
    </chartFormat>
    <chartFormat chart="13" format="71" series="1">
      <pivotArea type="data" outline="0" fieldPosition="0">
        <references count="2">
          <reference field="4294967294" count="1" selected="0">
            <x v="0"/>
          </reference>
          <reference field="15" count="1" selected="0">
            <x v="71"/>
          </reference>
        </references>
      </pivotArea>
    </chartFormat>
    <chartFormat chart="13" format="72" series="1">
      <pivotArea type="data" outline="0" fieldPosition="0">
        <references count="2">
          <reference field="4294967294" count="1" selected="0">
            <x v="0"/>
          </reference>
          <reference field="15" count="1" selected="0">
            <x v="72"/>
          </reference>
        </references>
      </pivotArea>
    </chartFormat>
    <chartFormat chart="13" format="73" series="1">
      <pivotArea type="data" outline="0" fieldPosition="0">
        <references count="2">
          <reference field="4294967294" count="1" selected="0">
            <x v="0"/>
          </reference>
          <reference field="15" count="1" selected="0">
            <x v="73"/>
          </reference>
        </references>
      </pivotArea>
    </chartFormat>
    <chartFormat chart="13" format="74" series="1">
      <pivotArea type="data" outline="0" fieldPosition="0">
        <references count="2">
          <reference field="4294967294" count="1" selected="0">
            <x v="0"/>
          </reference>
          <reference field="15" count="1" selected="0">
            <x v="74"/>
          </reference>
        </references>
      </pivotArea>
    </chartFormat>
    <chartFormat chart="13" format="75" series="1">
      <pivotArea type="data" outline="0" fieldPosition="0">
        <references count="2">
          <reference field="4294967294" count="1" selected="0">
            <x v="0"/>
          </reference>
          <reference field="15" count="1" selected="0">
            <x v="75"/>
          </reference>
        </references>
      </pivotArea>
    </chartFormat>
    <chartFormat chart="13" format="76" series="1">
      <pivotArea type="data" outline="0" fieldPosition="0">
        <references count="2">
          <reference field="4294967294" count="1" selected="0">
            <x v="0"/>
          </reference>
          <reference field="15" count="1" selected="0">
            <x v="76"/>
          </reference>
        </references>
      </pivotArea>
    </chartFormat>
    <chartFormat chart="13" format="77" series="1">
      <pivotArea type="data" outline="0" fieldPosition="0">
        <references count="2">
          <reference field="4294967294" count="1" selected="0">
            <x v="0"/>
          </reference>
          <reference field="15" count="1" selected="0">
            <x v="77"/>
          </reference>
        </references>
      </pivotArea>
    </chartFormat>
    <chartFormat chart="13" format="78" series="1">
      <pivotArea type="data" outline="0" fieldPosition="0">
        <references count="2">
          <reference field="4294967294" count="1" selected="0">
            <x v="0"/>
          </reference>
          <reference field="15" count="1" selected="0">
            <x v="78"/>
          </reference>
        </references>
      </pivotArea>
    </chartFormat>
    <chartFormat chart="13" format="79" series="1">
      <pivotArea type="data" outline="0" fieldPosition="0">
        <references count="2">
          <reference field="4294967294" count="1" selected="0">
            <x v="0"/>
          </reference>
          <reference field="15" count="1" selected="0">
            <x v="79"/>
          </reference>
        </references>
      </pivotArea>
    </chartFormat>
    <chartFormat chart="13" format="80" series="1">
      <pivotArea type="data" outline="0" fieldPosition="0">
        <references count="2">
          <reference field="4294967294" count="1" selected="0">
            <x v="0"/>
          </reference>
          <reference field="15" count="1" selected="0">
            <x v="80"/>
          </reference>
        </references>
      </pivotArea>
    </chartFormat>
    <chartFormat chart="13" format="81" series="1">
      <pivotArea type="data" outline="0" fieldPosition="0">
        <references count="2">
          <reference field="4294967294" count="1" selected="0">
            <x v="0"/>
          </reference>
          <reference field="15" count="1" selected="0">
            <x v="81"/>
          </reference>
        </references>
      </pivotArea>
    </chartFormat>
    <chartFormat chart="13" format="82" series="1">
      <pivotArea type="data" outline="0" fieldPosition="0">
        <references count="2">
          <reference field="4294967294" count="1" selected="0">
            <x v="0"/>
          </reference>
          <reference field="15" count="1" selected="0">
            <x v="82"/>
          </reference>
        </references>
      </pivotArea>
    </chartFormat>
    <chartFormat chart="13" format="83" series="1">
      <pivotArea type="data" outline="0" fieldPosition="0">
        <references count="2">
          <reference field="4294967294" count="1" selected="0">
            <x v="0"/>
          </reference>
          <reference field="15" count="1" selected="0">
            <x v="83"/>
          </reference>
        </references>
      </pivotArea>
    </chartFormat>
    <chartFormat chart="13" format="84" series="1">
      <pivotArea type="data" outline="0" fieldPosition="0">
        <references count="2">
          <reference field="4294967294" count="1" selected="0">
            <x v="0"/>
          </reference>
          <reference field="15" count="1" selected="0">
            <x v="84"/>
          </reference>
        </references>
      </pivotArea>
    </chartFormat>
    <chartFormat chart="13" format="85" series="1">
      <pivotArea type="data" outline="0" fieldPosition="0">
        <references count="2">
          <reference field="4294967294" count="1" selected="0">
            <x v="0"/>
          </reference>
          <reference field="15" count="1" selected="0">
            <x v="85"/>
          </reference>
        </references>
      </pivotArea>
    </chartFormat>
    <chartFormat chart="13" format="86" series="1">
      <pivotArea type="data" outline="0" fieldPosition="0">
        <references count="2">
          <reference field="4294967294" count="1" selected="0">
            <x v="0"/>
          </reference>
          <reference field="15" count="1" selected="0">
            <x v="86"/>
          </reference>
        </references>
      </pivotArea>
    </chartFormat>
    <chartFormat chart="13" format="87" series="1">
      <pivotArea type="data" outline="0" fieldPosition="0">
        <references count="2">
          <reference field="4294967294" count="1" selected="0">
            <x v="0"/>
          </reference>
          <reference field="15" count="1" selected="0">
            <x v="87"/>
          </reference>
        </references>
      </pivotArea>
    </chartFormat>
    <chartFormat chart="13" format="88" series="1">
      <pivotArea type="data" outline="0" fieldPosition="0">
        <references count="2">
          <reference field="4294967294" count="1" selected="0">
            <x v="0"/>
          </reference>
          <reference field="15" count="1" selected="0">
            <x v="88"/>
          </reference>
        </references>
      </pivotArea>
    </chartFormat>
    <chartFormat chart="13" format="89" series="1">
      <pivotArea type="data" outline="0" fieldPosition="0">
        <references count="2">
          <reference field="4294967294" count="1" selected="0">
            <x v="0"/>
          </reference>
          <reference field="15" count="1" selected="0">
            <x v="89"/>
          </reference>
        </references>
      </pivotArea>
    </chartFormat>
    <chartFormat chart="16" format="88" series="1">
      <pivotArea type="data" outline="0" fieldPosition="0">
        <references count="2">
          <reference field="4294967294" count="1" selected="0">
            <x v="0"/>
          </reference>
          <reference field="15" count="1" selected="0">
            <x v="1"/>
          </reference>
        </references>
      </pivotArea>
    </chartFormat>
    <chartFormat chart="16" format="89" series="1">
      <pivotArea type="data" outline="0" fieldPosition="0">
        <references count="2">
          <reference field="4294967294" count="1" selected="0">
            <x v="0"/>
          </reference>
          <reference field="15" count="1" selected="0">
            <x v="2"/>
          </reference>
        </references>
      </pivotArea>
    </chartFormat>
    <chartFormat chart="16" format="90" series="1">
      <pivotArea type="data" outline="0" fieldPosition="0">
        <references count="2">
          <reference field="4294967294" count="1" selected="0">
            <x v="0"/>
          </reference>
          <reference field="15" count="1" selected="0">
            <x v="3"/>
          </reference>
        </references>
      </pivotArea>
    </chartFormat>
    <chartFormat chart="16" format="91" series="1">
      <pivotArea type="data" outline="0" fieldPosition="0">
        <references count="2">
          <reference field="4294967294" count="1" selected="0">
            <x v="0"/>
          </reference>
          <reference field="15" count="1" selected="0">
            <x v="4"/>
          </reference>
        </references>
      </pivotArea>
    </chartFormat>
    <chartFormat chart="16" format="92" series="1">
      <pivotArea type="data" outline="0" fieldPosition="0">
        <references count="2">
          <reference field="4294967294" count="1" selected="0">
            <x v="0"/>
          </reference>
          <reference field="15" count="1" selected="0">
            <x v="5"/>
          </reference>
        </references>
      </pivotArea>
    </chartFormat>
    <chartFormat chart="16" format="93" series="1">
      <pivotArea type="data" outline="0" fieldPosition="0">
        <references count="2">
          <reference field="4294967294" count="1" selected="0">
            <x v="0"/>
          </reference>
          <reference field="15" count="1" selected="0">
            <x v="6"/>
          </reference>
        </references>
      </pivotArea>
    </chartFormat>
    <chartFormat chart="16" format="94" series="1">
      <pivotArea type="data" outline="0" fieldPosition="0">
        <references count="2">
          <reference field="4294967294" count="1" selected="0">
            <x v="0"/>
          </reference>
          <reference field="15" count="1" selected="0">
            <x v="7"/>
          </reference>
        </references>
      </pivotArea>
    </chartFormat>
    <chartFormat chart="16" format="95" series="1">
      <pivotArea type="data" outline="0" fieldPosition="0">
        <references count="2">
          <reference field="4294967294" count="1" selected="0">
            <x v="0"/>
          </reference>
          <reference field="15" count="1" selected="0">
            <x v="8"/>
          </reference>
        </references>
      </pivotArea>
    </chartFormat>
    <chartFormat chart="16" format="96" series="1">
      <pivotArea type="data" outline="0" fieldPosition="0">
        <references count="2">
          <reference field="4294967294" count="1" selected="0">
            <x v="0"/>
          </reference>
          <reference field="15" count="1" selected="0">
            <x v="9"/>
          </reference>
        </references>
      </pivotArea>
    </chartFormat>
    <chartFormat chart="16" format="97" series="1">
      <pivotArea type="data" outline="0" fieldPosition="0">
        <references count="2">
          <reference field="4294967294" count="1" selected="0">
            <x v="0"/>
          </reference>
          <reference field="15" count="1" selected="0">
            <x v="10"/>
          </reference>
        </references>
      </pivotArea>
    </chartFormat>
    <chartFormat chart="16" format="98" series="1">
      <pivotArea type="data" outline="0" fieldPosition="0">
        <references count="2">
          <reference field="4294967294" count="1" selected="0">
            <x v="0"/>
          </reference>
          <reference field="15" count="1" selected="0">
            <x v="11"/>
          </reference>
        </references>
      </pivotArea>
    </chartFormat>
    <chartFormat chart="16" format="99" series="1">
      <pivotArea type="data" outline="0" fieldPosition="0">
        <references count="2">
          <reference field="4294967294" count="1" selected="0">
            <x v="0"/>
          </reference>
          <reference field="15" count="1" selected="0">
            <x v="12"/>
          </reference>
        </references>
      </pivotArea>
    </chartFormat>
    <chartFormat chart="16" format="100" series="1">
      <pivotArea type="data" outline="0" fieldPosition="0">
        <references count="2">
          <reference field="4294967294" count="1" selected="0">
            <x v="0"/>
          </reference>
          <reference field="15" count="1" selected="0">
            <x v="13"/>
          </reference>
        </references>
      </pivotArea>
    </chartFormat>
    <chartFormat chart="16" format="101" series="1">
      <pivotArea type="data" outline="0" fieldPosition="0">
        <references count="2">
          <reference field="4294967294" count="1" selected="0">
            <x v="0"/>
          </reference>
          <reference field="15" count="1" selected="0">
            <x v="14"/>
          </reference>
        </references>
      </pivotArea>
    </chartFormat>
    <chartFormat chart="16" format="102" series="1">
      <pivotArea type="data" outline="0" fieldPosition="0">
        <references count="2">
          <reference field="4294967294" count="1" selected="0">
            <x v="0"/>
          </reference>
          <reference field="15" count="1" selected="0">
            <x v="15"/>
          </reference>
        </references>
      </pivotArea>
    </chartFormat>
    <chartFormat chart="16" format="103" series="1">
      <pivotArea type="data" outline="0" fieldPosition="0">
        <references count="2">
          <reference field="4294967294" count="1" selected="0">
            <x v="0"/>
          </reference>
          <reference field="15" count="1" selected="0">
            <x v="16"/>
          </reference>
        </references>
      </pivotArea>
    </chartFormat>
    <chartFormat chart="16" format="104" series="1">
      <pivotArea type="data" outline="0" fieldPosition="0">
        <references count="2">
          <reference field="4294967294" count="1" selected="0">
            <x v="0"/>
          </reference>
          <reference field="15" count="1" selected="0">
            <x v="17"/>
          </reference>
        </references>
      </pivotArea>
    </chartFormat>
    <chartFormat chart="16" format="105" series="1">
      <pivotArea type="data" outline="0" fieldPosition="0">
        <references count="2">
          <reference field="4294967294" count="1" selected="0">
            <x v="0"/>
          </reference>
          <reference field="15" count="1" selected="0">
            <x v="18"/>
          </reference>
        </references>
      </pivotArea>
    </chartFormat>
    <chartFormat chart="16" format="106" series="1">
      <pivotArea type="data" outline="0" fieldPosition="0">
        <references count="2">
          <reference field="4294967294" count="1" selected="0">
            <x v="0"/>
          </reference>
          <reference field="15" count="1" selected="0">
            <x v="19"/>
          </reference>
        </references>
      </pivotArea>
    </chartFormat>
    <chartFormat chart="16" format="107" series="1">
      <pivotArea type="data" outline="0" fieldPosition="0">
        <references count="2">
          <reference field="4294967294" count="1" selected="0">
            <x v="0"/>
          </reference>
          <reference field="15" count="1" selected="0">
            <x v="20"/>
          </reference>
        </references>
      </pivotArea>
    </chartFormat>
    <chartFormat chart="16" format="108" series="1">
      <pivotArea type="data" outline="0" fieldPosition="0">
        <references count="2">
          <reference field="4294967294" count="1" selected="0">
            <x v="0"/>
          </reference>
          <reference field="15" count="1" selected="0">
            <x v="21"/>
          </reference>
        </references>
      </pivotArea>
    </chartFormat>
    <chartFormat chart="16" format="109" series="1">
      <pivotArea type="data" outline="0" fieldPosition="0">
        <references count="2">
          <reference field="4294967294" count="1" selected="0">
            <x v="0"/>
          </reference>
          <reference field="15" count="1" selected="0">
            <x v="22"/>
          </reference>
        </references>
      </pivotArea>
    </chartFormat>
    <chartFormat chart="16" format="110" series="1">
      <pivotArea type="data" outline="0" fieldPosition="0">
        <references count="2">
          <reference field="4294967294" count="1" selected="0">
            <x v="0"/>
          </reference>
          <reference field="15" count="1" selected="0">
            <x v="23"/>
          </reference>
        </references>
      </pivotArea>
    </chartFormat>
    <chartFormat chart="16" format="111" series="1">
      <pivotArea type="data" outline="0" fieldPosition="0">
        <references count="2">
          <reference field="4294967294" count="1" selected="0">
            <x v="0"/>
          </reference>
          <reference field="15" count="1" selected="0">
            <x v="24"/>
          </reference>
        </references>
      </pivotArea>
    </chartFormat>
    <chartFormat chart="16" format="112" series="1">
      <pivotArea type="data" outline="0" fieldPosition="0">
        <references count="2">
          <reference field="4294967294" count="1" selected="0">
            <x v="0"/>
          </reference>
          <reference field="15" count="1" selected="0">
            <x v="25"/>
          </reference>
        </references>
      </pivotArea>
    </chartFormat>
    <chartFormat chart="16" format="113" series="1">
      <pivotArea type="data" outline="0" fieldPosition="0">
        <references count="2">
          <reference field="4294967294" count="1" selected="0">
            <x v="0"/>
          </reference>
          <reference field="15" count="1" selected="0">
            <x v="26"/>
          </reference>
        </references>
      </pivotArea>
    </chartFormat>
    <chartFormat chart="16" format="114" series="1">
      <pivotArea type="data" outline="0" fieldPosition="0">
        <references count="2">
          <reference field="4294967294" count="1" selected="0">
            <x v="0"/>
          </reference>
          <reference field="15" count="1" selected="0">
            <x v="27"/>
          </reference>
        </references>
      </pivotArea>
    </chartFormat>
    <chartFormat chart="16" format="115" series="1">
      <pivotArea type="data" outline="0" fieldPosition="0">
        <references count="2">
          <reference field="4294967294" count="1" selected="0">
            <x v="0"/>
          </reference>
          <reference field="15" count="1" selected="0">
            <x v="28"/>
          </reference>
        </references>
      </pivotArea>
    </chartFormat>
    <chartFormat chart="16" format="116" series="1">
      <pivotArea type="data" outline="0" fieldPosition="0">
        <references count="2">
          <reference field="4294967294" count="1" selected="0">
            <x v="0"/>
          </reference>
          <reference field="15" count="1" selected="0">
            <x v="29"/>
          </reference>
        </references>
      </pivotArea>
    </chartFormat>
    <chartFormat chart="16" format="117" series="1">
      <pivotArea type="data" outline="0" fieldPosition="0">
        <references count="2">
          <reference field="4294967294" count="1" selected="0">
            <x v="0"/>
          </reference>
          <reference field="15" count="1" selected="0">
            <x v="30"/>
          </reference>
        </references>
      </pivotArea>
    </chartFormat>
    <chartFormat chart="16" format="118" series="1">
      <pivotArea type="data" outline="0" fieldPosition="0">
        <references count="2">
          <reference field="4294967294" count="1" selected="0">
            <x v="0"/>
          </reference>
          <reference field="15" count="1" selected="0">
            <x v="31"/>
          </reference>
        </references>
      </pivotArea>
    </chartFormat>
    <chartFormat chart="16" format="119" series="1">
      <pivotArea type="data" outline="0" fieldPosition="0">
        <references count="2">
          <reference field="4294967294" count="1" selected="0">
            <x v="0"/>
          </reference>
          <reference field="15" count="1" selected="0">
            <x v="32"/>
          </reference>
        </references>
      </pivotArea>
    </chartFormat>
    <chartFormat chart="16" format="120" series="1">
      <pivotArea type="data" outline="0" fieldPosition="0">
        <references count="2">
          <reference field="4294967294" count="1" selected="0">
            <x v="0"/>
          </reference>
          <reference field="15" count="1" selected="0">
            <x v="33"/>
          </reference>
        </references>
      </pivotArea>
    </chartFormat>
    <chartFormat chart="16" format="121" series="1">
      <pivotArea type="data" outline="0" fieldPosition="0">
        <references count="2">
          <reference field="4294967294" count="1" selected="0">
            <x v="0"/>
          </reference>
          <reference field="15" count="1" selected="0">
            <x v="34"/>
          </reference>
        </references>
      </pivotArea>
    </chartFormat>
    <chartFormat chart="16" format="122" series="1">
      <pivotArea type="data" outline="0" fieldPosition="0">
        <references count="2">
          <reference field="4294967294" count="1" selected="0">
            <x v="0"/>
          </reference>
          <reference field="15" count="1" selected="0">
            <x v="35"/>
          </reference>
        </references>
      </pivotArea>
    </chartFormat>
    <chartFormat chart="16" format="123" series="1">
      <pivotArea type="data" outline="0" fieldPosition="0">
        <references count="2">
          <reference field="4294967294" count="1" selected="0">
            <x v="0"/>
          </reference>
          <reference field="15" count="1" selected="0">
            <x v="36"/>
          </reference>
        </references>
      </pivotArea>
    </chartFormat>
    <chartFormat chart="16" format="124" series="1">
      <pivotArea type="data" outline="0" fieldPosition="0">
        <references count="2">
          <reference field="4294967294" count="1" selected="0">
            <x v="0"/>
          </reference>
          <reference field="15" count="1" selected="0">
            <x v="37"/>
          </reference>
        </references>
      </pivotArea>
    </chartFormat>
    <chartFormat chart="16" format="125" series="1">
      <pivotArea type="data" outline="0" fieldPosition="0">
        <references count="2">
          <reference field="4294967294" count="1" selected="0">
            <x v="0"/>
          </reference>
          <reference field="15" count="1" selected="0">
            <x v="38"/>
          </reference>
        </references>
      </pivotArea>
    </chartFormat>
    <chartFormat chart="16" format="126" series="1">
      <pivotArea type="data" outline="0" fieldPosition="0">
        <references count="2">
          <reference field="4294967294" count="1" selected="0">
            <x v="0"/>
          </reference>
          <reference field="15" count="1" selected="0">
            <x v="39"/>
          </reference>
        </references>
      </pivotArea>
    </chartFormat>
    <chartFormat chart="16" format="127" series="1">
      <pivotArea type="data" outline="0" fieldPosition="0">
        <references count="2">
          <reference field="4294967294" count="1" selected="0">
            <x v="0"/>
          </reference>
          <reference field="15" count="1" selected="0">
            <x v="40"/>
          </reference>
        </references>
      </pivotArea>
    </chartFormat>
    <chartFormat chart="16" format="128" series="1">
      <pivotArea type="data" outline="0" fieldPosition="0">
        <references count="2">
          <reference field="4294967294" count="1" selected="0">
            <x v="0"/>
          </reference>
          <reference field="15" count="1" selected="0">
            <x v="41"/>
          </reference>
        </references>
      </pivotArea>
    </chartFormat>
    <chartFormat chart="16" format="129" series="1">
      <pivotArea type="data" outline="0" fieldPosition="0">
        <references count="2">
          <reference field="4294967294" count="1" selected="0">
            <x v="0"/>
          </reference>
          <reference field="15" count="1" selected="0">
            <x v="42"/>
          </reference>
        </references>
      </pivotArea>
    </chartFormat>
    <chartFormat chart="16" format="130" series="1">
      <pivotArea type="data" outline="0" fieldPosition="0">
        <references count="2">
          <reference field="4294967294" count="1" selected="0">
            <x v="0"/>
          </reference>
          <reference field="15" count="1" selected="0">
            <x v="43"/>
          </reference>
        </references>
      </pivotArea>
    </chartFormat>
    <chartFormat chart="16" format="131" series="1">
      <pivotArea type="data" outline="0" fieldPosition="0">
        <references count="2">
          <reference field="4294967294" count="1" selected="0">
            <x v="0"/>
          </reference>
          <reference field="15" count="1" selected="0">
            <x v="44"/>
          </reference>
        </references>
      </pivotArea>
    </chartFormat>
    <chartFormat chart="16" format="132" series="1">
      <pivotArea type="data" outline="0" fieldPosition="0">
        <references count="2">
          <reference field="4294967294" count="1" selected="0">
            <x v="0"/>
          </reference>
          <reference field="15" count="1" selected="0">
            <x v="45"/>
          </reference>
        </references>
      </pivotArea>
    </chartFormat>
    <chartFormat chart="16" format="133" series="1">
      <pivotArea type="data" outline="0" fieldPosition="0">
        <references count="2">
          <reference field="4294967294" count="1" selected="0">
            <x v="0"/>
          </reference>
          <reference field="15" count="1" selected="0">
            <x v="46"/>
          </reference>
        </references>
      </pivotArea>
    </chartFormat>
    <chartFormat chart="16" format="134" series="1">
      <pivotArea type="data" outline="0" fieldPosition="0">
        <references count="2">
          <reference field="4294967294" count="1" selected="0">
            <x v="0"/>
          </reference>
          <reference field="15" count="1" selected="0">
            <x v="47"/>
          </reference>
        </references>
      </pivotArea>
    </chartFormat>
    <chartFormat chart="16" format="135" series="1">
      <pivotArea type="data" outline="0" fieldPosition="0">
        <references count="2">
          <reference field="4294967294" count="1" selected="0">
            <x v="0"/>
          </reference>
          <reference field="15" count="1" selected="0">
            <x v="48"/>
          </reference>
        </references>
      </pivotArea>
    </chartFormat>
    <chartFormat chart="16" format="136" series="1">
      <pivotArea type="data" outline="0" fieldPosition="0">
        <references count="2">
          <reference field="4294967294" count="1" selected="0">
            <x v="0"/>
          </reference>
          <reference field="15" count="1" selected="0">
            <x v="49"/>
          </reference>
        </references>
      </pivotArea>
    </chartFormat>
    <chartFormat chart="16" format="137" series="1">
      <pivotArea type="data" outline="0" fieldPosition="0">
        <references count="2">
          <reference field="4294967294" count="1" selected="0">
            <x v="0"/>
          </reference>
          <reference field="15" count="1" selected="0">
            <x v="50"/>
          </reference>
        </references>
      </pivotArea>
    </chartFormat>
    <chartFormat chart="16" format="138" series="1">
      <pivotArea type="data" outline="0" fieldPosition="0">
        <references count="2">
          <reference field="4294967294" count="1" selected="0">
            <x v="0"/>
          </reference>
          <reference field="15" count="1" selected="0">
            <x v="51"/>
          </reference>
        </references>
      </pivotArea>
    </chartFormat>
    <chartFormat chart="16" format="139" series="1">
      <pivotArea type="data" outline="0" fieldPosition="0">
        <references count="2">
          <reference field="4294967294" count="1" selected="0">
            <x v="0"/>
          </reference>
          <reference field="15" count="1" selected="0">
            <x v="52"/>
          </reference>
        </references>
      </pivotArea>
    </chartFormat>
    <chartFormat chart="16" format="140" series="1">
      <pivotArea type="data" outline="0" fieldPosition="0">
        <references count="2">
          <reference field="4294967294" count="1" selected="0">
            <x v="0"/>
          </reference>
          <reference field="15" count="1" selected="0">
            <x v="53"/>
          </reference>
        </references>
      </pivotArea>
    </chartFormat>
    <chartFormat chart="16" format="141" series="1">
      <pivotArea type="data" outline="0" fieldPosition="0">
        <references count="2">
          <reference field="4294967294" count="1" selected="0">
            <x v="0"/>
          </reference>
          <reference field="15" count="1" selected="0">
            <x v="54"/>
          </reference>
        </references>
      </pivotArea>
    </chartFormat>
    <chartFormat chart="16" format="142" series="1">
      <pivotArea type="data" outline="0" fieldPosition="0">
        <references count="2">
          <reference field="4294967294" count="1" selected="0">
            <x v="0"/>
          </reference>
          <reference field="15" count="1" selected="0">
            <x v="55"/>
          </reference>
        </references>
      </pivotArea>
    </chartFormat>
    <chartFormat chart="16" format="143" series="1">
      <pivotArea type="data" outline="0" fieldPosition="0">
        <references count="2">
          <reference field="4294967294" count="1" selected="0">
            <x v="0"/>
          </reference>
          <reference field="15" count="1" selected="0">
            <x v="56"/>
          </reference>
        </references>
      </pivotArea>
    </chartFormat>
    <chartFormat chart="16" format="144" series="1">
      <pivotArea type="data" outline="0" fieldPosition="0">
        <references count="2">
          <reference field="4294967294" count="1" selected="0">
            <x v="0"/>
          </reference>
          <reference field="15" count="1" selected="0">
            <x v="57"/>
          </reference>
        </references>
      </pivotArea>
    </chartFormat>
    <chartFormat chart="16" format="145" series="1">
      <pivotArea type="data" outline="0" fieldPosition="0">
        <references count="2">
          <reference field="4294967294" count="1" selected="0">
            <x v="0"/>
          </reference>
          <reference field="15" count="1" selected="0">
            <x v="58"/>
          </reference>
        </references>
      </pivotArea>
    </chartFormat>
    <chartFormat chart="16" format="146" series="1">
      <pivotArea type="data" outline="0" fieldPosition="0">
        <references count="2">
          <reference field="4294967294" count="1" selected="0">
            <x v="0"/>
          </reference>
          <reference field="15" count="1" selected="0">
            <x v="59"/>
          </reference>
        </references>
      </pivotArea>
    </chartFormat>
    <chartFormat chart="16" format="147" series="1">
      <pivotArea type="data" outline="0" fieldPosition="0">
        <references count="2">
          <reference field="4294967294" count="1" selected="0">
            <x v="0"/>
          </reference>
          <reference field="15" count="1" selected="0">
            <x v="61"/>
          </reference>
        </references>
      </pivotArea>
    </chartFormat>
    <chartFormat chart="16" format="148" series="1">
      <pivotArea type="data" outline="0" fieldPosition="0">
        <references count="2">
          <reference field="4294967294" count="1" selected="0">
            <x v="0"/>
          </reference>
          <reference field="15" count="1" selected="0">
            <x v="62"/>
          </reference>
        </references>
      </pivotArea>
    </chartFormat>
    <chartFormat chart="16" format="149" series="1">
      <pivotArea type="data" outline="0" fieldPosition="0">
        <references count="2">
          <reference field="4294967294" count="1" selected="0">
            <x v="0"/>
          </reference>
          <reference field="15" count="1" selected="0">
            <x v="63"/>
          </reference>
        </references>
      </pivotArea>
    </chartFormat>
    <chartFormat chart="16" format="150" series="1">
      <pivotArea type="data" outline="0" fieldPosition="0">
        <references count="2">
          <reference field="4294967294" count="1" selected="0">
            <x v="0"/>
          </reference>
          <reference field="15" count="1" selected="0">
            <x v="64"/>
          </reference>
        </references>
      </pivotArea>
    </chartFormat>
    <chartFormat chart="16" format="151" series="1">
      <pivotArea type="data" outline="0" fieldPosition="0">
        <references count="2">
          <reference field="4294967294" count="1" selected="0">
            <x v="0"/>
          </reference>
          <reference field="15" count="1" selected="0">
            <x v="65"/>
          </reference>
        </references>
      </pivotArea>
    </chartFormat>
    <chartFormat chart="16" format="152" series="1">
      <pivotArea type="data" outline="0" fieldPosition="0">
        <references count="2">
          <reference field="4294967294" count="1" selected="0">
            <x v="0"/>
          </reference>
          <reference field="15" count="1" selected="0">
            <x v="66"/>
          </reference>
        </references>
      </pivotArea>
    </chartFormat>
    <chartFormat chart="16" format="153" series="1">
      <pivotArea type="data" outline="0" fieldPosition="0">
        <references count="2">
          <reference field="4294967294" count="1" selected="0">
            <x v="0"/>
          </reference>
          <reference field="15" count="1" selected="0">
            <x v="67"/>
          </reference>
        </references>
      </pivotArea>
    </chartFormat>
    <chartFormat chart="16" format="154" series="1">
      <pivotArea type="data" outline="0" fieldPosition="0">
        <references count="2">
          <reference field="4294967294" count="1" selected="0">
            <x v="0"/>
          </reference>
          <reference field="15" count="1" selected="0">
            <x v="68"/>
          </reference>
        </references>
      </pivotArea>
    </chartFormat>
    <chartFormat chart="16" format="155" series="1">
      <pivotArea type="data" outline="0" fieldPosition="0">
        <references count="2">
          <reference field="4294967294" count="1" selected="0">
            <x v="0"/>
          </reference>
          <reference field="15" count="1" selected="0">
            <x v="69"/>
          </reference>
        </references>
      </pivotArea>
    </chartFormat>
    <chartFormat chart="16" format="156" series="1">
      <pivotArea type="data" outline="0" fieldPosition="0">
        <references count="2">
          <reference field="4294967294" count="1" selected="0">
            <x v="0"/>
          </reference>
          <reference field="15" count="1" selected="0">
            <x v="70"/>
          </reference>
        </references>
      </pivotArea>
    </chartFormat>
    <chartFormat chart="16" format="157" series="1">
      <pivotArea type="data" outline="0" fieldPosition="0">
        <references count="2">
          <reference field="4294967294" count="1" selected="0">
            <x v="0"/>
          </reference>
          <reference field="15" count="1" selected="0">
            <x v="71"/>
          </reference>
        </references>
      </pivotArea>
    </chartFormat>
    <chartFormat chart="16" format="158" series="1">
      <pivotArea type="data" outline="0" fieldPosition="0">
        <references count="2">
          <reference field="4294967294" count="1" selected="0">
            <x v="0"/>
          </reference>
          <reference field="15" count="1" selected="0">
            <x v="72"/>
          </reference>
        </references>
      </pivotArea>
    </chartFormat>
    <chartFormat chart="16" format="159" series="1">
      <pivotArea type="data" outline="0" fieldPosition="0">
        <references count="2">
          <reference field="4294967294" count="1" selected="0">
            <x v="0"/>
          </reference>
          <reference field="15" count="1" selected="0">
            <x v="73"/>
          </reference>
        </references>
      </pivotArea>
    </chartFormat>
    <chartFormat chart="16" format="160" series="1">
      <pivotArea type="data" outline="0" fieldPosition="0">
        <references count="2">
          <reference field="4294967294" count="1" selected="0">
            <x v="0"/>
          </reference>
          <reference field="15" count="1" selected="0">
            <x v="74"/>
          </reference>
        </references>
      </pivotArea>
    </chartFormat>
    <chartFormat chart="16" format="161" series="1">
      <pivotArea type="data" outline="0" fieldPosition="0">
        <references count="2">
          <reference field="4294967294" count="1" selected="0">
            <x v="0"/>
          </reference>
          <reference field="15" count="1" selected="0">
            <x v="75"/>
          </reference>
        </references>
      </pivotArea>
    </chartFormat>
    <chartFormat chart="16" format="162" series="1">
      <pivotArea type="data" outline="0" fieldPosition="0">
        <references count="2">
          <reference field="4294967294" count="1" selected="0">
            <x v="0"/>
          </reference>
          <reference field="15" count="1" selected="0">
            <x v="76"/>
          </reference>
        </references>
      </pivotArea>
    </chartFormat>
    <chartFormat chart="16" format="163" series="1">
      <pivotArea type="data" outline="0" fieldPosition="0">
        <references count="2">
          <reference field="4294967294" count="1" selected="0">
            <x v="0"/>
          </reference>
          <reference field="15" count="1" selected="0">
            <x v="77"/>
          </reference>
        </references>
      </pivotArea>
    </chartFormat>
    <chartFormat chart="16" format="164" series="1">
      <pivotArea type="data" outline="0" fieldPosition="0">
        <references count="2">
          <reference field="4294967294" count="1" selected="0">
            <x v="0"/>
          </reference>
          <reference field="15" count="1" selected="0">
            <x v="78"/>
          </reference>
        </references>
      </pivotArea>
    </chartFormat>
    <chartFormat chart="16" format="165" series="1">
      <pivotArea type="data" outline="0" fieldPosition="0">
        <references count="2">
          <reference field="4294967294" count="1" selected="0">
            <x v="0"/>
          </reference>
          <reference field="15" count="1" selected="0">
            <x v="79"/>
          </reference>
        </references>
      </pivotArea>
    </chartFormat>
    <chartFormat chart="16" format="166" series="1">
      <pivotArea type="data" outline="0" fieldPosition="0">
        <references count="2">
          <reference field="4294967294" count="1" selected="0">
            <x v="0"/>
          </reference>
          <reference field="15" count="1" selected="0">
            <x v="80"/>
          </reference>
        </references>
      </pivotArea>
    </chartFormat>
    <chartFormat chart="16" format="167" series="1">
      <pivotArea type="data" outline="0" fieldPosition="0">
        <references count="2">
          <reference field="4294967294" count="1" selected="0">
            <x v="0"/>
          </reference>
          <reference field="15" count="1" selected="0">
            <x v="81"/>
          </reference>
        </references>
      </pivotArea>
    </chartFormat>
    <chartFormat chart="16" format="168" series="1">
      <pivotArea type="data" outline="0" fieldPosition="0">
        <references count="2">
          <reference field="4294967294" count="1" selected="0">
            <x v="0"/>
          </reference>
          <reference field="15" count="1" selected="0">
            <x v="82"/>
          </reference>
        </references>
      </pivotArea>
    </chartFormat>
    <chartFormat chart="16" format="169" series="1">
      <pivotArea type="data" outline="0" fieldPosition="0">
        <references count="2">
          <reference field="4294967294" count="1" selected="0">
            <x v="0"/>
          </reference>
          <reference field="15" count="1" selected="0">
            <x v="83"/>
          </reference>
        </references>
      </pivotArea>
    </chartFormat>
    <chartFormat chart="16" format="170" series="1">
      <pivotArea type="data" outline="0" fieldPosition="0">
        <references count="2">
          <reference field="4294967294" count="1" selected="0">
            <x v="0"/>
          </reference>
          <reference field="15" count="1" selected="0">
            <x v="84"/>
          </reference>
        </references>
      </pivotArea>
    </chartFormat>
    <chartFormat chart="16" format="171" series="1">
      <pivotArea type="data" outline="0" fieldPosition="0">
        <references count="2">
          <reference field="4294967294" count="1" selected="0">
            <x v="0"/>
          </reference>
          <reference field="15" count="1" selected="0">
            <x v="85"/>
          </reference>
        </references>
      </pivotArea>
    </chartFormat>
    <chartFormat chart="16" format="172" series="1">
      <pivotArea type="data" outline="0" fieldPosition="0">
        <references count="2">
          <reference field="4294967294" count="1" selected="0">
            <x v="0"/>
          </reference>
          <reference field="15" count="1" selected="0">
            <x v="86"/>
          </reference>
        </references>
      </pivotArea>
    </chartFormat>
    <chartFormat chart="16" format="173" series="1">
      <pivotArea type="data" outline="0" fieldPosition="0">
        <references count="2">
          <reference field="4294967294" count="1" selected="0">
            <x v="0"/>
          </reference>
          <reference field="15" count="1" selected="0">
            <x v="87"/>
          </reference>
        </references>
      </pivotArea>
    </chartFormat>
    <chartFormat chart="16" format="174" series="1">
      <pivotArea type="data" outline="0" fieldPosition="0">
        <references count="2">
          <reference field="4294967294" count="1" selected="0">
            <x v="0"/>
          </reference>
          <reference field="15" count="1" selected="0">
            <x v="88"/>
          </reference>
        </references>
      </pivotArea>
    </chartFormat>
    <chartFormat chart="16" format="175" series="1">
      <pivotArea type="data" outline="0" fieldPosition="0">
        <references count="2">
          <reference field="4294967294" count="1" selected="0">
            <x v="0"/>
          </reference>
          <reference field="15" count="1" selected="0">
            <x v="89"/>
          </reference>
        </references>
      </pivotArea>
    </chartFormat>
    <chartFormat chart="17" format="176" series="1">
      <pivotArea type="data" outline="0" fieldPosition="0">
        <references count="2">
          <reference field="4294967294" count="1" selected="0">
            <x v="0"/>
          </reference>
          <reference field="15" count="1" selected="0">
            <x v="1"/>
          </reference>
        </references>
      </pivotArea>
    </chartFormat>
    <chartFormat chart="17" format="177" series="1">
      <pivotArea type="data" outline="0" fieldPosition="0">
        <references count="2">
          <reference field="4294967294" count="1" selected="0">
            <x v="0"/>
          </reference>
          <reference field="15" count="1" selected="0">
            <x v="2"/>
          </reference>
        </references>
      </pivotArea>
    </chartFormat>
    <chartFormat chart="17" format="178" series="1">
      <pivotArea type="data" outline="0" fieldPosition="0">
        <references count="2">
          <reference field="4294967294" count="1" selected="0">
            <x v="0"/>
          </reference>
          <reference field="15" count="1" selected="0">
            <x v="3"/>
          </reference>
        </references>
      </pivotArea>
    </chartFormat>
    <chartFormat chart="17" format="179" series="1">
      <pivotArea type="data" outline="0" fieldPosition="0">
        <references count="2">
          <reference field="4294967294" count="1" selected="0">
            <x v="0"/>
          </reference>
          <reference field="15" count="1" selected="0">
            <x v="4"/>
          </reference>
        </references>
      </pivotArea>
    </chartFormat>
    <chartFormat chart="17" format="180" series="1">
      <pivotArea type="data" outline="0" fieldPosition="0">
        <references count="2">
          <reference field="4294967294" count="1" selected="0">
            <x v="0"/>
          </reference>
          <reference field="15" count="1" selected="0">
            <x v="5"/>
          </reference>
        </references>
      </pivotArea>
    </chartFormat>
    <chartFormat chart="17" format="181" series="1">
      <pivotArea type="data" outline="0" fieldPosition="0">
        <references count="2">
          <reference field="4294967294" count="1" selected="0">
            <x v="0"/>
          </reference>
          <reference field="15" count="1" selected="0">
            <x v="6"/>
          </reference>
        </references>
      </pivotArea>
    </chartFormat>
    <chartFormat chart="17" format="182" series="1">
      <pivotArea type="data" outline="0" fieldPosition="0">
        <references count="2">
          <reference field="4294967294" count="1" selected="0">
            <x v="0"/>
          </reference>
          <reference field="15" count="1" selected="0">
            <x v="7"/>
          </reference>
        </references>
      </pivotArea>
    </chartFormat>
    <chartFormat chart="17" format="183" series="1">
      <pivotArea type="data" outline="0" fieldPosition="0">
        <references count="2">
          <reference field="4294967294" count="1" selected="0">
            <x v="0"/>
          </reference>
          <reference field="15" count="1" selected="0">
            <x v="8"/>
          </reference>
        </references>
      </pivotArea>
    </chartFormat>
    <chartFormat chart="17" format="184" series="1">
      <pivotArea type="data" outline="0" fieldPosition="0">
        <references count="2">
          <reference field="4294967294" count="1" selected="0">
            <x v="0"/>
          </reference>
          <reference field="15" count="1" selected="0">
            <x v="9"/>
          </reference>
        </references>
      </pivotArea>
    </chartFormat>
    <chartFormat chart="17" format="185" series="1">
      <pivotArea type="data" outline="0" fieldPosition="0">
        <references count="2">
          <reference field="4294967294" count="1" selected="0">
            <x v="0"/>
          </reference>
          <reference field="15" count="1" selected="0">
            <x v="10"/>
          </reference>
        </references>
      </pivotArea>
    </chartFormat>
    <chartFormat chart="17" format="186" series="1">
      <pivotArea type="data" outline="0" fieldPosition="0">
        <references count="2">
          <reference field="4294967294" count="1" selected="0">
            <x v="0"/>
          </reference>
          <reference field="15" count="1" selected="0">
            <x v="11"/>
          </reference>
        </references>
      </pivotArea>
    </chartFormat>
    <chartFormat chart="17" format="187" series="1">
      <pivotArea type="data" outline="0" fieldPosition="0">
        <references count="2">
          <reference field="4294967294" count="1" selected="0">
            <x v="0"/>
          </reference>
          <reference field="15" count="1" selected="0">
            <x v="12"/>
          </reference>
        </references>
      </pivotArea>
    </chartFormat>
    <chartFormat chart="17" format="188" series="1">
      <pivotArea type="data" outline="0" fieldPosition="0">
        <references count="2">
          <reference field="4294967294" count="1" selected="0">
            <x v="0"/>
          </reference>
          <reference field="15" count="1" selected="0">
            <x v="13"/>
          </reference>
        </references>
      </pivotArea>
    </chartFormat>
    <chartFormat chart="17" format="189" series="1">
      <pivotArea type="data" outline="0" fieldPosition="0">
        <references count="2">
          <reference field="4294967294" count="1" selected="0">
            <x v="0"/>
          </reference>
          <reference field="15" count="1" selected="0">
            <x v="14"/>
          </reference>
        </references>
      </pivotArea>
    </chartFormat>
    <chartFormat chart="17" format="190" series="1">
      <pivotArea type="data" outline="0" fieldPosition="0">
        <references count="2">
          <reference field="4294967294" count="1" selected="0">
            <x v="0"/>
          </reference>
          <reference field="15" count="1" selected="0">
            <x v="15"/>
          </reference>
        </references>
      </pivotArea>
    </chartFormat>
    <chartFormat chart="17" format="191" series="1">
      <pivotArea type="data" outline="0" fieldPosition="0">
        <references count="2">
          <reference field="4294967294" count="1" selected="0">
            <x v="0"/>
          </reference>
          <reference field="15" count="1" selected="0">
            <x v="16"/>
          </reference>
        </references>
      </pivotArea>
    </chartFormat>
    <chartFormat chart="17" format="192" series="1">
      <pivotArea type="data" outline="0" fieldPosition="0">
        <references count="2">
          <reference field="4294967294" count="1" selected="0">
            <x v="0"/>
          </reference>
          <reference field="15" count="1" selected="0">
            <x v="17"/>
          </reference>
        </references>
      </pivotArea>
    </chartFormat>
    <chartFormat chart="17" format="193" series="1">
      <pivotArea type="data" outline="0" fieldPosition="0">
        <references count="2">
          <reference field="4294967294" count="1" selected="0">
            <x v="0"/>
          </reference>
          <reference field="15" count="1" selected="0">
            <x v="18"/>
          </reference>
        </references>
      </pivotArea>
    </chartFormat>
    <chartFormat chart="17" format="194" series="1">
      <pivotArea type="data" outline="0" fieldPosition="0">
        <references count="2">
          <reference field="4294967294" count="1" selected="0">
            <x v="0"/>
          </reference>
          <reference field="15" count="1" selected="0">
            <x v="19"/>
          </reference>
        </references>
      </pivotArea>
    </chartFormat>
    <chartFormat chart="17" format="195" series="1">
      <pivotArea type="data" outline="0" fieldPosition="0">
        <references count="2">
          <reference field="4294967294" count="1" selected="0">
            <x v="0"/>
          </reference>
          <reference field="15" count="1" selected="0">
            <x v="20"/>
          </reference>
        </references>
      </pivotArea>
    </chartFormat>
    <chartFormat chart="17" format="196" series="1">
      <pivotArea type="data" outline="0" fieldPosition="0">
        <references count="2">
          <reference field="4294967294" count="1" selected="0">
            <x v="0"/>
          </reference>
          <reference field="15" count="1" selected="0">
            <x v="21"/>
          </reference>
        </references>
      </pivotArea>
    </chartFormat>
    <chartFormat chart="17" format="197" series="1">
      <pivotArea type="data" outline="0" fieldPosition="0">
        <references count="2">
          <reference field="4294967294" count="1" selected="0">
            <x v="0"/>
          </reference>
          <reference field="15" count="1" selected="0">
            <x v="22"/>
          </reference>
        </references>
      </pivotArea>
    </chartFormat>
    <chartFormat chart="17" format="198" series="1">
      <pivotArea type="data" outline="0" fieldPosition="0">
        <references count="2">
          <reference field="4294967294" count="1" selected="0">
            <x v="0"/>
          </reference>
          <reference field="15" count="1" selected="0">
            <x v="23"/>
          </reference>
        </references>
      </pivotArea>
    </chartFormat>
    <chartFormat chart="17" format="199" series="1">
      <pivotArea type="data" outline="0" fieldPosition="0">
        <references count="2">
          <reference field="4294967294" count="1" selected="0">
            <x v="0"/>
          </reference>
          <reference field="15" count="1" selected="0">
            <x v="24"/>
          </reference>
        </references>
      </pivotArea>
    </chartFormat>
    <chartFormat chart="17" format="200" series="1">
      <pivotArea type="data" outline="0" fieldPosition="0">
        <references count="2">
          <reference field="4294967294" count="1" selected="0">
            <x v="0"/>
          </reference>
          <reference field="15" count="1" selected="0">
            <x v="25"/>
          </reference>
        </references>
      </pivotArea>
    </chartFormat>
    <chartFormat chart="17" format="201" series="1">
      <pivotArea type="data" outline="0" fieldPosition="0">
        <references count="2">
          <reference field="4294967294" count="1" selected="0">
            <x v="0"/>
          </reference>
          <reference field="15" count="1" selected="0">
            <x v="26"/>
          </reference>
        </references>
      </pivotArea>
    </chartFormat>
    <chartFormat chart="17" format="202" series="1">
      <pivotArea type="data" outline="0" fieldPosition="0">
        <references count="2">
          <reference field="4294967294" count="1" selected="0">
            <x v="0"/>
          </reference>
          <reference field="15" count="1" selected="0">
            <x v="27"/>
          </reference>
        </references>
      </pivotArea>
    </chartFormat>
    <chartFormat chart="17" format="203" series="1">
      <pivotArea type="data" outline="0" fieldPosition="0">
        <references count="2">
          <reference field="4294967294" count="1" selected="0">
            <x v="0"/>
          </reference>
          <reference field="15" count="1" selected="0">
            <x v="28"/>
          </reference>
        </references>
      </pivotArea>
    </chartFormat>
    <chartFormat chart="17" format="204" series="1">
      <pivotArea type="data" outline="0" fieldPosition="0">
        <references count="2">
          <reference field="4294967294" count="1" selected="0">
            <x v="0"/>
          </reference>
          <reference field="15" count="1" selected="0">
            <x v="29"/>
          </reference>
        </references>
      </pivotArea>
    </chartFormat>
    <chartFormat chart="17" format="205" series="1">
      <pivotArea type="data" outline="0" fieldPosition="0">
        <references count="2">
          <reference field="4294967294" count="1" selected="0">
            <x v="0"/>
          </reference>
          <reference field="15" count="1" selected="0">
            <x v="30"/>
          </reference>
        </references>
      </pivotArea>
    </chartFormat>
    <chartFormat chart="17" format="206" series="1">
      <pivotArea type="data" outline="0" fieldPosition="0">
        <references count="2">
          <reference field="4294967294" count="1" selected="0">
            <x v="0"/>
          </reference>
          <reference field="15" count="1" selected="0">
            <x v="31"/>
          </reference>
        </references>
      </pivotArea>
    </chartFormat>
    <chartFormat chart="17" format="207" series="1">
      <pivotArea type="data" outline="0" fieldPosition="0">
        <references count="2">
          <reference field="4294967294" count="1" selected="0">
            <x v="0"/>
          </reference>
          <reference field="15" count="1" selected="0">
            <x v="32"/>
          </reference>
        </references>
      </pivotArea>
    </chartFormat>
    <chartFormat chart="17" format="208" series="1">
      <pivotArea type="data" outline="0" fieldPosition="0">
        <references count="2">
          <reference field="4294967294" count="1" selected="0">
            <x v="0"/>
          </reference>
          <reference field="15" count="1" selected="0">
            <x v="33"/>
          </reference>
        </references>
      </pivotArea>
    </chartFormat>
    <chartFormat chart="17" format="209" series="1">
      <pivotArea type="data" outline="0" fieldPosition="0">
        <references count="2">
          <reference field="4294967294" count="1" selected="0">
            <x v="0"/>
          </reference>
          <reference field="15" count="1" selected="0">
            <x v="34"/>
          </reference>
        </references>
      </pivotArea>
    </chartFormat>
    <chartFormat chart="17" format="210" series="1">
      <pivotArea type="data" outline="0" fieldPosition="0">
        <references count="2">
          <reference field="4294967294" count="1" selected="0">
            <x v="0"/>
          </reference>
          <reference field="15" count="1" selected="0">
            <x v="35"/>
          </reference>
        </references>
      </pivotArea>
    </chartFormat>
    <chartFormat chart="17" format="211" series="1">
      <pivotArea type="data" outline="0" fieldPosition="0">
        <references count="2">
          <reference field="4294967294" count="1" selected="0">
            <x v="0"/>
          </reference>
          <reference field="15" count="1" selected="0">
            <x v="36"/>
          </reference>
        </references>
      </pivotArea>
    </chartFormat>
    <chartFormat chart="17" format="212" series="1">
      <pivotArea type="data" outline="0" fieldPosition="0">
        <references count="2">
          <reference field="4294967294" count="1" selected="0">
            <x v="0"/>
          </reference>
          <reference field="15" count="1" selected="0">
            <x v="37"/>
          </reference>
        </references>
      </pivotArea>
    </chartFormat>
    <chartFormat chart="17" format="213" series="1">
      <pivotArea type="data" outline="0" fieldPosition="0">
        <references count="2">
          <reference field="4294967294" count="1" selected="0">
            <x v="0"/>
          </reference>
          <reference field="15" count="1" selected="0">
            <x v="38"/>
          </reference>
        </references>
      </pivotArea>
    </chartFormat>
    <chartFormat chart="17" format="214" series="1">
      <pivotArea type="data" outline="0" fieldPosition="0">
        <references count="2">
          <reference field="4294967294" count="1" selected="0">
            <x v="0"/>
          </reference>
          <reference field="15" count="1" selected="0">
            <x v="39"/>
          </reference>
        </references>
      </pivotArea>
    </chartFormat>
    <chartFormat chart="17" format="215" series="1">
      <pivotArea type="data" outline="0" fieldPosition="0">
        <references count="2">
          <reference field="4294967294" count="1" selected="0">
            <x v="0"/>
          </reference>
          <reference field="15" count="1" selected="0">
            <x v="40"/>
          </reference>
        </references>
      </pivotArea>
    </chartFormat>
    <chartFormat chart="17" format="216" series="1">
      <pivotArea type="data" outline="0" fieldPosition="0">
        <references count="2">
          <reference field="4294967294" count="1" selected="0">
            <x v="0"/>
          </reference>
          <reference field="15" count="1" selected="0">
            <x v="41"/>
          </reference>
        </references>
      </pivotArea>
    </chartFormat>
    <chartFormat chart="17" format="217" series="1">
      <pivotArea type="data" outline="0" fieldPosition="0">
        <references count="2">
          <reference field="4294967294" count="1" selected="0">
            <x v="0"/>
          </reference>
          <reference field="15" count="1" selected="0">
            <x v="42"/>
          </reference>
        </references>
      </pivotArea>
    </chartFormat>
    <chartFormat chart="17" format="218" series="1">
      <pivotArea type="data" outline="0" fieldPosition="0">
        <references count="2">
          <reference field="4294967294" count="1" selected="0">
            <x v="0"/>
          </reference>
          <reference field="15" count="1" selected="0">
            <x v="43"/>
          </reference>
        </references>
      </pivotArea>
    </chartFormat>
    <chartFormat chart="17" format="219" series="1">
      <pivotArea type="data" outline="0" fieldPosition="0">
        <references count="2">
          <reference field="4294967294" count="1" selected="0">
            <x v="0"/>
          </reference>
          <reference field="15" count="1" selected="0">
            <x v="44"/>
          </reference>
        </references>
      </pivotArea>
    </chartFormat>
    <chartFormat chart="17" format="220" series="1">
      <pivotArea type="data" outline="0" fieldPosition="0">
        <references count="2">
          <reference field="4294967294" count="1" selected="0">
            <x v="0"/>
          </reference>
          <reference field="15" count="1" selected="0">
            <x v="45"/>
          </reference>
        </references>
      </pivotArea>
    </chartFormat>
    <chartFormat chart="17" format="221" series="1">
      <pivotArea type="data" outline="0" fieldPosition="0">
        <references count="2">
          <reference field="4294967294" count="1" selected="0">
            <x v="0"/>
          </reference>
          <reference field="15" count="1" selected="0">
            <x v="46"/>
          </reference>
        </references>
      </pivotArea>
    </chartFormat>
    <chartFormat chart="17" format="222" series="1">
      <pivotArea type="data" outline="0" fieldPosition="0">
        <references count="2">
          <reference field="4294967294" count="1" selected="0">
            <x v="0"/>
          </reference>
          <reference field="15" count="1" selected="0">
            <x v="47"/>
          </reference>
        </references>
      </pivotArea>
    </chartFormat>
    <chartFormat chart="17" format="223" series="1">
      <pivotArea type="data" outline="0" fieldPosition="0">
        <references count="2">
          <reference field="4294967294" count="1" selected="0">
            <x v="0"/>
          </reference>
          <reference field="15" count="1" selected="0">
            <x v="48"/>
          </reference>
        </references>
      </pivotArea>
    </chartFormat>
    <chartFormat chart="17" format="224" series="1">
      <pivotArea type="data" outline="0" fieldPosition="0">
        <references count="2">
          <reference field="4294967294" count="1" selected="0">
            <x v="0"/>
          </reference>
          <reference field="15" count="1" selected="0">
            <x v="49"/>
          </reference>
        </references>
      </pivotArea>
    </chartFormat>
    <chartFormat chart="17" format="225" series="1">
      <pivotArea type="data" outline="0" fieldPosition="0">
        <references count="2">
          <reference field="4294967294" count="1" selected="0">
            <x v="0"/>
          </reference>
          <reference field="15" count="1" selected="0">
            <x v="50"/>
          </reference>
        </references>
      </pivotArea>
    </chartFormat>
    <chartFormat chart="17" format="226" series="1">
      <pivotArea type="data" outline="0" fieldPosition="0">
        <references count="2">
          <reference field="4294967294" count="1" selected="0">
            <x v="0"/>
          </reference>
          <reference field="15" count="1" selected="0">
            <x v="51"/>
          </reference>
        </references>
      </pivotArea>
    </chartFormat>
    <chartFormat chart="17" format="227" series="1">
      <pivotArea type="data" outline="0" fieldPosition="0">
        <references count="2">
          <reference field="4294967294" count="1" selected="0">
            <x v="0"/>
          </reference>
          <reference field="15" count="1" selected="0">
            <x v="52"/>
          </reference>
        </references>
      </pivotArea>
    </chartFormat>
    <chartFormat chart="17" format="228" series="1">
      <pivotArea type="data" outline="0" fieldPosition="0">
        <references count="2">
          <reference field="4294967294" count="1" selected="0">
            <x v="0"/>
          </reference>
          <reference field="15" count="1" selected="0">
            <x v="53"/>
          </reference>
        </references>
      </pivotArea>
    </chartFormat>
    <chartFormat chart="17" format="229" series="1">
      <pivotArea type="data" outline="0" fieldPosition="0">
        <references count="2">
          <reference field="4294967294" count="1" selected="0">
            <x v="0"/>
          </reference>
          <reference field="15" count="1" selected="0">
            <x v="54"/>
          </reference>
        </references>
      </pivotArea>
    </chartFormat>
    <chartFormat chart="17" format="230" series="1">
      <pivotArea type="data" outline="0" fieldPosition="0">
        <references count="2">
          <reference field="4294967294" count="1" selected="0">
            <x v="0"/>
          </reference>
          <reference field="15" count="1" selected="0">
            <x v="55"/>
          </reference>
        </references>
      </pivotArea>
    </chartFormat>
    <chartFormat chart="17" format="231" series="1">
      <pivotArea type="data" outline="0" fieldPosition="0">
        <references count="2">
          <reference field="4294967294" count="1" selected="0">
            <x v="0"/>
          </reference>
          <reference field="15" count="1" selected="0">
            <x v="56"/>
          </reference>
        </references>
      </pivotArea>
    </chartFormat>
    <chartFormat chart="17" format="232" series="1">
      <pivotArea type="data" outline="0" fieldPosition="0">
        <references count="2">
          <reference field="4294967294" count="1" selected="0">
            <x v="0"/>
          </reference>
          <reference field="15" count="1" selected="0">
            <x v="57"/>
          </reference>
        </references>
      </pivotArea>
    </chartFormat>
    <chartFormat chart="17" format="233" series="1">
      <pivotArea type="data" outline="0" fieldPosition="0">
        <references count="2">
          <reference field="4294967294" count="1" selected="0">
            <x v="0"/>
          </reference>
          <reference field="15" count="1" selected="0">
            <x v="58"/>
          </reference>
        </references>
      </pivotArea>
    </chartFormat>
    <chartFormat chart="17" format="234" series="1">
      <pivotArea type="data" outline="0" fieldPosition="0">
        <references count="2">
          <reference field="4294967294" count="1" selected="0">
            <x v="0"/>
          </reference>
          <reference field="15" count="1" selected="0">
            <x v="59"/>
          </reference>
        </references>
      </pivotArea>
    </chartFormat>
    <chartFormat chart="17" format="235" series="1">
      <pivotArea type="data" outline="0" fieldPosition="0">
        <references count="2">
          <reference field="4294967294" count="1" selected="0">
            <x v="0"/>
          </reference>
          <reference field="15" count="1" selected="0">
            <x v="61"/>
          </reference>
        </references>
      </pivotArea>
    </chartFormat>
    <chartFormat chart="17" format="236" series="1">
      <pivotArea type="data" outline="0" fieldPosition="0">
        <references count="2">
          <reference field="4294967294" count="1" selected="0">
            <x v="0"/>
          </reference>
          <reference field="15" count="1" selected="0">
            <x v="62"/>
          </reference>
        </references>
      </pivotArea>
    </chartFormat>
    <chartFormat chart="17" format="237" series="1">
      <pivotArea type="data" outline="0" fieldPosition="0">
        <references count="2">
          <reference field="4294967294" count="1" selected="0">
            <x v="0"/>
          </reference>
          <reference field="15" count="1" selected="0">
            <x v="63"/>
          </reference>
        </references>
      </pivotArea>
    </chartFormat>
    <chartFormat chart="17" format="238" series="1">
      <pivotArea type="data" outline="0" fieldPosition="0">
        <references count="2">
          <reference field="4294967294" count="1" selected="0">
            <x v="0"/>
          </reference>
          <reference field="15" count="1" selected="0">
            <x v="64"/>
          </reference>
        </references>
      </pivotArea>
    </chartFormat>
    <chartFormat chart="17" format="239" series="1">
      <pivotArea type="data" outline="0" fieldPosition="0">
        <references count="2">
          <reference field="4294967294" count="1" selected="0">
            <x v="0"/>
          </reference>
          <reference field="15" count="1" selected="0">
            <x v="65"/>
          </reference>
        </references>
      </pivotArea>
    </chartFormat>
    <chartFormat chart="17" format="240" series="1">
      <pivotArea type="data" outline="0" fieldPosition="0">
        <references count="2">
          <reference field="4294967294" count="1" selected="0">
            <x v="0"/>
          </reference>
          <reference field="15" count="1" selected="0">
            <x v="66"/>
          </reference>
        </references>
      </pivotArea>
    </chartFormat>
    <chartFormat chart="17" format="241" series="1">
      <pivotArea type="data" outline="0" fieldPosition="0">
        <references count="2">
          <reference field="4294967294" count="1" selected="0">
            <x v="0"/>
          </reference>
          <reference field="15" count="1" selected="0">
            <x v="67"/>
          </reference>
        </references>
      </pivotArea>
    </chartFormat>
    <chartFormat chart="17" format="242" series="1">
      <pivotArea type="data" outline="0" fieldPosition="0">
        <references count="2">
          <reference field="4294967294" count="1" selected="0">
            <x v="0"/>
          </reference>
          <reference field="15" count="1" selected="0">
            <x v="68"/>
          </reference>
        </references>
      </pivotArea>
    </chartFormat>
    <chartFormat chart="17" format="243" series="1">
      <pivotArea type="data" outline="0" fieldPosition="0">
        <references count="2">
          <reference field="4294967294" count="1" selected="0">
            <x v="0"/>
          </reference>
          <reference field="15" count="1" selected="0">
            <x v="69"/>
          </reference>
        </references>
      </pivotArea>
    </chartFormat>
    <chartFormat chart="17" format="244" series="1">
      <pivotArea type="data" outline="0" fieldPosition="0">
        <references count="2">
          <reference field="4294967294" count="1" selected="0">
            <x v="0"/>
          </reference>
          <reference field="15" count="1" selected="0">
            <x v="70"/>
          </reference>
        </references>
      </pivotArea>
    </chartFormat>
    <chartFormat chart="17" format="245" series="1">
      <pivotArea type="data" outline="0" fieldPosition="0">
        <references count="2">
          <reference field="4294967294" count="1" selected="0">
            <x v="0"/>
          </reference>
          <reference field="15" count="1" selected="0">
            <x v="71"/>
          </reference>
        </references>
      </pivotArea>
    </chartFormat>
    <chartFormat chart="17" format="246" series="1">
      <pivotArea type="data" outline="0" fieldPosition="0">
        <references count="2">
          <reference field="4294967294" count="1" selected="0">
            <x v="0"/>
          </reference>
          <reference field="15" count="1" selected="0">
            <x v="72"/>
          </reference>
        </references>
      </pivotArea>
    </chartFormat>
    <chartFormat chart="17" format="247" series="1">
      <pivotArea type="data" outline="0" fieldPosition="0">
        <references count="2">
          <reference field="4294967294" count="1" selected="0">
            <x v="0"/>
          </reference>
          <reference field="15" count="1" selected="0">
            <x v="73"/>
          </reference>
        </references>
      </pivotArea>
    </chartFormat>
    <chartFormat chart="17" format="248" series="1">
      <pivotArea type="data" outline="0" fieldPosition="0">
        <references count="2">
          <reference field="4294967294" count="1" selected="0">
            <x v="0"/>
          </reference>
          <reference field="15" count="1" selected="0">
            <x v="74"/>
          </reference>
        </references>
      </pivotArea>
    </chartFormat>
    <chartFormat chart="17" format="249" series="1">
      <pivotArea type="data" outline="0" fieldPosition="0">
        <references count="2">
          <reference field="4294967294" count="1" selected="0">
            <x v="0"/>
          </reference>
          <reference field="15" count="1" selected="0">
            <x v="75"/>
          </reference>
        </references>
      </pivotArea>
    </chartFormat>
    <chartFormat chart="17" format="250" series="1">
      <pivotArea type="data" outline="0" fieldPosition="0">
        <references count="2">
          <reference field="4294967294" count="1" selected="0">
            <x v="0"/>
          </reference>
          <reference field="15" count="1" selected="0">
            <x v="76"/>
          </reference>
        </references>
      </pivotArea>
    </chartFormat>
    <chartFormat chart="17" format="251" series="1">
      <pivotArea type="data" outline="0" fieldPosition="0">
        <references count="2">
          <reference field="4294967294" count="1" selected="0">
            <x v="0"/>
          </reference>
          <reference field="15" count="1" selected="0">
            <x v="77"/>
          </reference>
        </references>
      </pivotArea>
    </chartFormat>
    <chartFormat chart="17" format="252" series="1">
      <pivotArea type="data" outline="0" fieldPosition="0">
        <references count="2">
          <reference field="4294967294" count="1" selected="0">
            <x v="0"/>
          </reference>
          <reference field="15" count="1" selected="0">
            <x v="78"/>
          </reference>
        </references>
      </pivotArea>
    </chartFormat>
    <chartFormat chart="17" format="253" series="1">
      <pivotArea type="data" outline="0" fieldPosition="0">
        <references count="2">
          <reference field="4294967294" count="1" selected="0">
            <x v="0"/>
          </reference>
          <reference field="15" count="1" selected="0">
            <x v="79"/>
          </reference>
        </references>
      </pivotArea>
    </chartFormat>
    <chartFormat chart="17" format="254" series="1">
      <pivotArea type="data" outline="0" fieldPosition="0">
        <references count="2">
          <reference field="4294967294" count="1" selected="0">
            <x v="0"/>
          </reference>
          <reference field="15" count="1" selected="0">
            <x v="80"/>
          </reference>
        </references>
      </pivotArea>
    </chartFormat>
    <chartFormat chart="17" format="255" series="1">
      <pivotArea type="data" outline="0" fieldPosition="0">
        <references count="2">
          <reference field="4294967294" count="1" selected="0">
            <x v="0"/>
          </reference>
          <reference field="15" count="1" selected="0">
            <x v="81"/>
          </reference>
        </references>
      </pivotArea>
    </chartFormat>
    <chartFormat chart="17" format="256" series="1">
      <pivotArea type="data" outline="0" fieldPosition="0">
        <references count="2">
          <reference field="4294967294" count="1" selected="0">
            <x v="0"/>
          </reference>
          <reference field="15" count="1" selected="0">
            <x v="82"/>
          </reference>
        </references>
      </pivotArea>
    </chartFormat>
    <chartFormat chart="17" format="257" series="1">
      <pivotArea type="data" outline="0" fieldPosition="0">
        <references count="2">
          <reference field="4294967294" count="1" selected="0">
            <x v="0"/>
          </reference>
          <reference field="15" count="1" selected="0">
            <x v="83"/>
          </reference>
        </references>
      </pivotArea>
    </chartFormat>
    <chartFormat chart="17" format="258" series="1">
      <pivotArea type="data" outline="0" fieldPosition="0">
        <references count="2">
          <reference field="4294967294" count="1" selected="0">
            <x v="0"/>
          </reference>
          <reference field="15" count="1" selected="0">
            <x v="84"/>
          </reference>
        </references>
      </pivotArea>
    </chartFormat>
    <chartFormat chart="17" format="259" series="1">
      <pivotArea type="data" outline="0" fieldPosition="0">
        <references count="2">
          <reference field="4294967294" count="1" selected="0">
            <x v="0"/>
          </reference>
          <reference field="15" count="1" selected="0">
            <x v="85"/>
          </reference>
        </references>
      </pivotArea>
    </chartFormat>
    <chartFormat chart="17" format="260" series="1">
      <pivotArea type="data" outline="0" fieldPosition="0">
        <references count="2">
          <reference field="4294967294" count="1" selected="0">
            <x v="0"/>
          </reference>
          <reference field="15" count="1" selected="0">
            <x v="86"/>
          </reference>
        </references>
      </pivotArea>
    </chartFormat>
    <chartFormat chart="17" format="261" series="1">
      <pivotArea type="data" outline="0" fieldPosition="0">
        <references count="2">
          <reference field="4294967294" count="1" selected="0">
            <x v="0"/>
          </reference>
          <reference field="15" count="1" selected="0">
            <x v="87"/>
          </reference>
        </references>
      </pivotArea>
    </chartFormat>
    <chartFormat chart="17" format="262" series="1">
      <pivotArea type="data" outline="0" fieldPosition="0">
        <references count="2">
          <reference field="4294967294" count="1" selected="0">
            <x v="0"/>
          </reference>
          <reference field="15" count="1" selected="0">
            <x v="88"/>
          </reference>
        </references>
      </pivotArea>
    </chartFormat>
    <chartFormat chart="17" format="263" series="1">
      <pivotArea type="data" outline="0" fieldPosition="0">
        <references count="2">
          <reference field="4294967294" count="1" selected="0">
            <x v="0"/>
          </reference>
          <reference field="15" count="1" selected="0">
            <x v="89"/>
          </reference>
        </references>
      </pivotArea>
    </chartFormat>
    <chartFormat chart="18" format="176" series="1">
      <pivotArea type="data" outline="0" fieldPosition="0">
        <references count="2">
          <reference field="4294967294" count="1" selected="0">
            <x v="0"/>
          </reference>
          <reference field="15" count="1" selected="0">
            <x v="1"/>
          </reference>
        </references>
      </pivotArea>
    </chartFormat>
    <chartFormat chart="18" format="177" series="1">
      <pivotArea type="data" outline="0" fieldPosition="0">
        <references count="2">
          <reference field="4294967294" count="1" selected="0">
            <x v="0"/>
          </reference>
          <reference field="15" count="1" selected="0">
            <x v="2"/>
          </reference>
        </references>
      </pivotArea>
    </chartFormat>
    <chartFormat chart="18" format="178" series="1">
      <pivotArea type="data" outline="0" fieldPosition="0">
        <references count="2">
          <reference field="4294967294" count="1" selected="0">
            <x v="0"/>
          </reference>
          <reference field="15" count="1" selected="0">
            <x v="3"/>
          </reference>
        </references>
      </pivotArea>
    </chartFormat>
    <chartFormat chart="18" format="179" series="1">
      <pivotArea type="data" outline="0" fieldPosition="0">
        <references count="2">
          <reference field="4294967294" count="1" selected="0">
            <x v="0"/>
          </reference>
          <reference field="15" count="1" selected="0">
            <x v="4"/>
          </reference>
        </references>
      </pivotArea>
    </chartFormat>
    <chartFormat chart="18" format="180" series="1">
      <pivotArea type="data" outline="0" fieldPosition="0">
        <references count="2">
          <reference field="4294967294" count="1" selected="0">
            <x v="0"/>
          </reference>
          <reference field="15" count="1" selected="0">
            <x v="5"/>
          </reference>
        </references>
      </pivotArea>
    </chartFormat>
    <chartFormat chart="18" format="181" series="1">
      <pivotArea type="data" outline="0" fieldPosition="0">
        <references count="2">
          <reference field="4294967294" count="1" selected="0">
            <x v="0"/>
          </reference>
          <reference field="15" count="1" selected="0">
            <x v="6"/>
          </reference>
        </references>
      </pivotArea>
    </chartFormat>
    <chartFormat chart="18" format="182" series="1">
      <pivotArea type="data" outline="0" fieldPosition="0">
        <references count="2">
          <reference field="4294967294" count="1" selected="0">
            <x v="0"/>
          </reference>
          <reference field="15" count="1" selected="0">
            <x v="7"/>
          </reference>
        </references>
      </pivotArea>
    </chartFormat>
    <chartFormat chart="18" format="183" series="1">
      <pivotArea type="data" outline="0" fieldPosition="0">
        <references count="2">
          <reference field="4294967294" count="1" selected="0">
            <x v="0"/>
          </reference>
          <reference field="15" count="1" selected="0">
            <x v="8"/>
          </reference>
        </references>
      </pivotArea>
    </chartFormat>
    <chartFormat chart="18" format="184" series="1">
      <pivotArea type="data" outline="0" fieldPosition="0">
        <references count="2">
          <reference field="4294967294" count="1" selected="0">
            <x v="0"/>
          </reference>
          <reference field="15" count="1" selected="0">
            <x v="9"/>
          </reference>
        </references>
      </pivotArea>
    </chartFormat>
    <chartFormat chart="18" format="185" series="1">
      <pivotArea type="data" outline="0" fieldPosition="0">
        <references count="2">
          <reference field="4294967294" count="1" selected="0">
            <x v="0"/>
          </reference>
          <reference field="15" count="1" selected="0">
            <x v="10"/>
          </reference>
        </references>
      </pivotArea>
    </chartFormat>
    <chartFormat chart="18" format="186" series="1">
      <pivotArea type="data" outline="0" fieldPosition="0">
        <references count="2">
          <reference field="4294967294" count="1" selected="0">
            <x v="0"/>
          </reference>
          <reference field="15" count="1" selected="0">
            <x v="11"/>
          </reference>
        </references>
      </pivotArea>
    </chartFormat>
    <chartFormat chart="18" format="187" series="1">
      <pivotArea type="data" outline="0" fieldPosition="0">
        <references count="2">
          <reference field="4294967294" count="1" selected="0">
            <x v="0"/>
          </reference>
          <reference field="15" count="1" selected="0">
            <x v="12"/>
          </reference>
        </references>
      </pivotArea>
    </chartFormat>
    <chartFormat chart="18" format="188" series="1">
      <pivotArea type="data" outline="0" fieldPosition="0">
        <references count="2">
          <reference field="4294967294" count="1" selected="0">
            <x v="0"/>
          </reference>
          <reference field="15" count="1" selected="0">
            <x v="13"/>
          </reference>
        </references>
      </pivotArea>
    </chartFormat>
    <chartFormat chart="18" format="189" series="1">
      <pivotArea type="data" outline="0" fieldPosition="0">
        <references count="2">
          <reference field="4294967294" count="1" selected="0">
            <x v="0"/>
          </reference>
          <reference field="15" count="1" selected="0">
            <x v="14"/>
          </reference>
        </references>
      </pivotArea>
    </chartFormat>
    <chartFormat chart="18" format="190" series="1">
      <pivotArea type="data" outline="0" fieldPosition="0">
        <references count="2">
          <reference field="4294967294" count="1" selected="0">
            <x v="0"/>
          </reference>
          <reference field="15" count="1" selected="0">
            <x v="15"/>
          </reference>
        </references>
      </pivotArea>
    </chartFormat>
    <chartFormat chart="18" format="191" series="1">
      <pivotArea type="data" outline="0" fieldPosition="0">
        <references count="2">
          <reference field="4294967294" count="1" selected="0">
            <x v="0"/>
          </reference>
          <reference field="15" count="1" selected="0">
            <x v="16"/>
          </reference>
        </references>
      </pivotArea>
    </chartFormat>
    <chartFormat chart="18" format="192" series="1">
      <pivotArea type="data" outline="0" fieldPosition="0">
        <references count="2">
          <reference field="4294967294" count="1" selected="0">
            <x v="0"/>
          </reference>
          <reference field="15" count="1" selected="0">
            <x v="17"/>
          </reference>
        </references>
      </pivotArea>
    </chartFormat>
    <chartFormat chart="18" format="193" series="1">
      <pivotArea type="data" outline="0" fieldPosition="0">
        <references count="2">
          <reference field="4294967294" count="1" selected="0">
            <x v="0"/>
          </reference>
          <reference field="15" count="1" selected="0">
            <x v="18"/>
          </reference>
        </references>
      </pivotArea>
    </chartFormat>
    <chartFormat chart="18" format="194" series="1">
      <pivotArea type="data" outline="0" fieldPosition="0">
        <references count="2">
          <reference field="4294967294" count="1" selected="0">
            <x v="0"/>
          </reference>
          <reference field="15" count="1" selected="0">
            <x v="19"/>
          </reference>
        </references>
      </pivotArea>
    </chartFormat>
    <chartFormat chart="18" format="195" series="1">
      <pivotArea type="data" outline="0" fieldPosition="0">
        <references count="2">
          <reference field="4294967294" count="1" selected="0">
            <x v="0"/>
          </reference>
          <reference field="15" count="1" selected="0">
            <x v="20"/>
          </reference>
        </references>
      </pivotArea>
    </chartFormat>
    <chartFormat chart="18" format="196" series="1">
      <pivotArea type="data" outline="0" fieldPosition="0">
        <references count="2">
          <reference field="4294967294" count="1" selected="0">
            <x v="0"/>
          </reference>
          <reference field="15" count="1" selected="0">
            <x v="21"/>
          </reference>
        </references>
      </pivotArea>
    </chartFormat>
    <chartFormat chart="18" format="197" series="1">
      <pivotArea type="data" outline="0" fieldPosition="0">
        <references count="2">
          <reference field="4294967294" count="1" selected="0">
            <x v="0"/>
          </reference>
          <reference field="15" count="1" selected="0">
            <x v="22"/>
          </reference>
        </references>
      </pivotArea>
    </chartFormat>
    <chartFormat chart="18" format="198" series="1">
      <pivotArea type="data" outline="0" fieldPosition="0">
        <references count="2">
          <reference field="4294967294" count="1" selected="0">
            <x v="0"/>
          </reference>
          <reference field="15" count="1" selected="0">
            <x v="23"/>
          </reference>
        </references>
      </pivotArea>
    </chartFormat>
    <chartFormat chart="18" format="199" series="1">
      <pivotArea type="data" outline="0" fieldPosition="0">
        <references count="2">
          <reference field="4294967294" count="1" selected="0">
            <x v="0"/>
          </reference>
          <reference field="15" count="1" selected="0">
            <x v="24"/>
          </reference>
        </references>
      </pivotArea>
    </chartFormat>
    <chartFormat chart="18" format="200" series="1">
      <pivotArea type="data" outline="0" fieldPosition="0">
        <references count="2">
          <reference field="4294967294" count="1" selected="0">
            <x v="0"/>
          </reference>
          <reference field="15" count="1" selected="0">
            <x v="25"/>
          </reference>
        </references>
      </pivotArea>
    </chartFormat>
    <chartFormat chart="18" format="201" series="1">
      <pivotArea type="data" outline="0" fieldPosition="0">
        <references count="2">
          <reference field="4294967294" count="1" selected="0">
            <x v="0"/>
          </reference>
          <reference field="15" count="1" selected="0">
            <x v="26"/>
          </reference>
        </references>
      </pivotArea>
    </chartFormat>
    <chartFormat chart="18" format="202" series="1">
      <pivotArea type="data" outline="0" fieldPosition="0">
        <references count="2">
          <reference field="4294967294" count="1" selected="0">
            <x v="0"/>
          </reference>
          <reference field="15" count="1" selected="0">
            <x v="27"/>
          </reference>
        </references>
      </pivotArea>
    </chartFormat>
    <chartFormat chart="18" format="203" series="1">
      <pivotArea type="data" outline="0" fieldPosition="0">
        <references count="2">
          <reference field="4294967294" count="1" selected="0">
            <x v="0"/>
          </reference>
          <reference field="15" count="1" selected="0">
            <x v="28"/>
          </reference>
        </references>
      </pivotArea>
    </chartFormat>
    <chartFormat chart="18" format="204" series="1">
      <pivotArea type="data" outline="0" fieldPosition="0">
        <references count="2">
          <reference field="4294967294" count="1" selected="0">
            <x v="0"/>
          </reference>
          <reference field="15" count="1" selected="0">
            <x v="29"/>
          </reference>
        </references>
      </pivotArea>
    </chartFormat>
    <chartFormat chart="18" format="205" series="1">
      <pivotArea type="data" outline="0" fieldPosition="0">
        <references count="2">
          <reference field="4294967294" count="1" selected="0">
            <x v="0"/>
          </reference>
          <reference field="15" count="1" selected="0">
            <x v="30"/>
          </reference>
        </references>
      </pivotArea>
    </chartFormat>
    <chartFormat chart="18" format="206" series="1">
      <pivotArea type="data" outline="0" fieldPosition="0">
        <references count="2">
          <reference field="4294967294" count="1" selected="0">
            <x v="0"/>
          </reference>
          <reference field="15" count="1" selected="0">
            <x v="31"/>
          </reference>
        </references>
      </pivotArea>
    </chartFormat>
    <chartFormat chart="18" format="207" series="1">
      <pivotArea type="data" outline="0" fieldPosition="0">
        <references count="2">
          <reference field="4294967294" count="1" selected="0">
            <x v="0"/>
          </reference>
          <reference field="15" count="1" selected="0">
            <x v="32"/>
          </reference>
        </references>
      </pivotArea>
    </chartFormat>
    <chartFormat chart="18" format="208" series="1">
      <pivotArea type="data" outline="0" fieldPosition="0">
        <references count="2">
          <reference field="4294967294" count="1" selected="0">
            <x v="0"/>
          </reference>
          <reference field="15" count="1" selected="0">
            <x v="33"/>
          </reference>
        </references>
      </pivotArea>
    </chartFormat>
    <chartFormat chart="18" format="209" series="1">
      <pivotArea type="data" outline="0" fieldPosition="0">
        <references count="2">
          <reference field="4294967294" count="1" selected="0">
            <x v="0"/>
          </reference>
          <reference field="15" count="1" selected="0">
            <x v="34"/>
          </reference>
        </references>
      </pivotArea>
    </chartFormat>
    <chartFormat chart="18" format="210" series="1">
      <pivotArea type="data" outline="0" fieldPosition="0">
        <references count="2">
          <reference field="4294967294" count="1" selected="0">
            <x v="0"/>
          </reference>
          <reference field="15" count="1" selected="0">
            <x v="35"/>
          </reference>
        </references>
      </pivotArea>
    </chartFormat>
    <chartFormat chart="18" format="211" series="1">
      <pivotArea type="data" outline="0" fieldPosition="0">
        <references count="2">
          <reference field="4294967294" count="1" selected="0">
            <x v="0"/>
          </reference>
          <reference field="15" count="1" selected="0">
            <x v="36"/>
          </reference>
        </references>
      </pivotArea>
    </chartFormat>
    <chartFormat chart="18" format="212" series="1">
      <pivotArea type="data" outline="0" fieldPosition="0">
        <references count="2">
          <reference field="4294967294" count="1" selected="0">
            <x v="0"/>
          </reference>
          <reference field="15" count="1" selected="0">
            <x v="37"/>
          </reference>
        </references>
      </pivotArea>
    </chartFormat>
    <chartFormat chart="18" format="213" series="1">
      <pivotArea type="data" outline="0" fieldPosition="0">
        <references count="2">
          <reference field="4294967294" count="1" selected="0">
            <x v="0"/>
          </reference>
          <reference field="15" count="1" selected="0">
            <x v="38"/>
          </reference>
        </references>
      </pivotArea>
    </chartFormat>
    <chartFormat chart="18" format="214" series="1">
      <pivotArea type="data" outline="0" fieldPosition="0">
        <references count="2">
          <reference field="4294967294" count="1" selected="0">
            <x v="0"/>
          </reference>
          <reference field="15" count="1" selected="0">
            <x v="39"/>
          </reference>
        </references>
      </pivotArea>
    </chartFormat>
    <chartFormat chart="18" format="215" series="1">
      <pivotArea type="data" outline="0" fieldPosition="0">
        <references count="2">
          <reference field="4294967294" count="1" selected="0">
            <x v="0"/>
          </reference>
          <reference field="15" count="1" selected="0">
            <x v="40"/>
          </reference>
        </references>
      </pivotArea>
    </chartFormat>
    <chartFormat chart="18" format="216" series="1">
      <pivotArea type="data" outline="0" fieldPosition="0">
        <references count="2">
          <reference field="4294967294" count="1" selected="0">
            <x v="0"/>
          </reference>
          <reference field="15" count="1" selected="0">
            <x v="41"/>
          </reference>
        </references>
      </pivotArea>
    </chartFormat>
    <chartFormat chart="18" format="217" series="1">
      <pivotArea type="data" outline="0" fieldPosition="0">
        <references count="2">
          <reference field="4294967294" count="1" selected="0">
            <x v="0"/>
          </reference>
          <reference field="15" count="1" selected="0">
            <x v="42"/>
          </reference>
        </references>
      </pivotArea>
    </chartFormat>
    <chartFormat chart="18" format="218" series="1">
      <pivotArea type="data" outline="0" fieldPosition="0">
        <references count="2">
          <reference field="4294967294" count="1" selected="0">
            <x v="0"/>
          </reference>
          <reference field="15" count="1" selected="0">
            <x v="43"/>
          </reference>
        </references>
      </pivotArea>
    </chartFormat>
    <chartFormat chart="18" format="219" series="1">
      <pivotArea type="data" outline="0" fieldPosition="0">
        <references count="2">
          <reference field="4294967294" count="1" selected="0">
            <x v="0"/>
          </reference>
          <reference field="15" count="1" selected="0">
            <x v="44"/>
          </reference>
        </references>
      </pivotArea>
    </chartFormat>
    <chartFormat chart="18" format="220" series="1">
      <pivotArea type="data" outline="0" fieldPosition="0">
        <references count="2">
          <reference field="4294967294" count="1" selected="0">
            <x v="0"/>
          </reference>
          <reference field="15" count="1" selected="0">
            <x v="45"/>
          </reference>
        </references>
      </pivotArea>
    </chartFormat>
    <chartFormat chart="18" format="221" series="1">
      <pivotArea type="data" outline="0" fieldPosition="0">
        <references count="2">
          <reference field="4294967294" count="1" selected="0">
            <x v="0"/>
          </reference>
          <reference field="15" count="1" selected="0">
            <x v="46"/>
          </reference>
        </references>
      </pivotArea>
    </chartFormat>
    <chartFormat chart="18" format="222" series="1">
      <pivotArea type="data" outline="0" fieldPosition="0">
        <references count="2">
          <reference field="4294967294" count="1" selected="0">
            <x v="0"/>
          </reference>
          <reference field="15" count="1" selected="0">
            <x v="47"/>
          </reference>
        </references>
      </pivotArea>
    </chartFormat>
    <chartFormat chart="18" format="223" series="1">
      <pivotArea type="data" outline="0" fieldPosition="0">
        <references count="2">
          <reference field="4294967294" count="1" selected="0">
            <x v="0"/>
          </reference>
          <reference field="15" count="1" selected="0">
            <x v="48"/>
          </reference>
        </references>
      </pivotArea>
    </chartFormat>
    <chartFormat chart="18" format="224" series="1">
      <pivotArea type="data" outline="0" fieldPosition="0">
        <references count="2">
          <reference field="4294967294" count="1" selected="0">
            <x v="0"/>
          </reference>
          <reference field="15" count="1" selected="0">
            <x v="49"/>
          </reference>
        </references>
      </pivotArea>
    </chartFormat>
    <chartFormat chart="18" format="225" series="1">
      <pivotArea type="data" outline="0" fieldPosition="0">
        <references count="2">
          <reference field="4294967294" count="1" selected="0">
            <x v="0"/>
          </reference>
          <reference field="15" count="1" selected="0">
            <x v="50"/>
          </reference>
        </references>
      </pivotArea>
    </chartFormat>
    <chartFormat chart="18" format="226" series="1">
      <pivotArea type="data" outline="0" fieldPosition="0">
        <references count="2">
          <reference field="4294967294" count="1" selected="0">
            <x v="0"/>
          </reference>
          <reference field="15" count="1" selected="0">
            <x v="51"/>
          </reference>
        </references>
      </pivotArea>
    </chartFormat>
    <chartFormat chart="18" format="227" series="1">
      <pivotArea type="data" outline="0" fieldPosition="0">
        <references count="2">
          <reference field="4294967294" count="1" selected="0">
            <x v="0"/>
          </reference>
          <reference field="15" count="1" selected="0">
            <x v="52"/>
          </reference>
        </references>
      </pivotArea>
    </chartFormat>
    <chartFormat chart="18" format="228" series="1">
      <pivotArea type="data" outline="0" fieldPosition="0">
        <references count="2">
          <reference field="4294967294" count="1" selected="0">
            <x v="0"/>
          </reference>
          <reference field="15" count="1" selected="0">
            <x v="53"/>
          </reference>
        </references>
      </pivotArea>
    </chartFormat>
    <chartFormat chart="18" format="229" series="1">
      <pivotArea type="data" outline="0" fieldPosition="0">
        <references count="2">
          <reference field="4294967294" count="1" selected="0">
            <x v="0"/>
          </reference>
          <reference field="15" count="1" selected="0">
            <x v="54"/>
          </reference>
        </references>
      </pivotArea>
    </chartFormat>
    <chartFormat chart="18" format="230" series="1">
      <pivotArea type="data" outline="0" fieldPosition="0">
        <references count="2">
          <reference field="4294967294" count="1" selected="0">
            <x v="0"/>
          </reference>
          <reference field="15" count="1" selected="0">
            <x v="55"/>
          </reference>
        </references>
      </pivotArea>
    </chartFormat>
    <chartFormat chart="18" format="231" series="1">
      <pivotArea type="data" outline="0" fieldPosition="0">
        <references count="2">
          <reference field="4294967294" count="1" selected="0">
            <x v="0"/>
          </reference>
          <reference field="15" count="1" selected="0">
            <x v="56"/>
          </reference>
        </references>
      </pivotArea>
    </chartFormat>
    <chartFormat chart="18" format="232" series="1">
      <pivotArea type="data" outline="0" fieldPosition="0">
        <references count="2">
          <reference field="4294967294" count="1" selected="0">
            <x v="0"/>
          </reference>
          <reference field="15" count="1" selected="0">
            <x v="57"/>
          </reference>
        </references>
      </pivotArea>
    </chartFormat>
    <chartFormat chart="18" format="233" series="1">
      <pivotArea type="data" outline="0" fieldPosition="0">
        <references count="2">
          <reference field="4294967294" count="1" selected="0">
            <x v="0"/>
          </reference>
          <reference field="15" count="1" selected="0">
            <x v="58"/>
          </reference>
        </references>
      </pivotArea>
    </chartFormat>
    <chartFormat chart="18" format="234" series="1">
      <pivotArea type="data" outline="0" fieldPosition="0">
        <references count="2">
          <reference field="4294967294" count="1" selected="0">
            <x v="0"/>
          </reference>
          <reference field="15" count="1" selected="0">
            <x v="59"/>
          </reference>
        </references>
      </pivotArea>
    </chartFormat>
    <chartFormat chart="18" format="235" series="1">
      <pivotArea type="data" outline="0" fieldPosition="0">
        <references count="2">
          <reference field="4294967294" count="1" selected="0">
            <x v="0"/>
          </reference>
          <reference field="15" count="1" selected="0">
            <x v="61"/>
          </reference>
        </references>
      </pivotArea>
    </chartFormat>
    <chartFormat chart="18" format="236" series="1">
      <pivotArea type="data" outline="0" fieldPosition="0">
        <references count="2">
          <reference field="4294967294" count="1" selected="0">
            <x v="0"/>
          </reference>
          <reference field="15" count="1" selected="0">
            <x v="62"/>
          </reference>
        </references>
      </pivotArea>
    </chartFormat>
    <chartFormat chart="18" format="237" series="1">
      <pivotArea type="data" outline="0" fieldPosition="0">
        <references count="2">
          <reference field="4294967294" count="1" selected="0">
            <x v="0"/>
          </reference>
          <reference field="15" count="1" selected="0">
            <x v="63"/>
          </reference>
        </references>
      </pivotArea>
    </chartFormat>
    <chartFormat chart="18" format="238" series="1">
      <pivotArea type="data" outline="0" fieldPosition="0">
        <references count="2">
          <reference field="4294967294" count="1" selected="0">
            <x v="0"/>
          </reference>
          <reference field="15" count="1" selected="0">
            <x v="64"/>
          </reference>
        </references>
      </pivotArea>
    </chartFormat>
    <chartFormat chart="18" format="239" series="1">
      <pivotArea type="data" outline="0" fieldPosition="0">
        <references count="2">
          <reference field="4294967294" count="1" selected="0">
            <x v="0"/>
          </reference>
          <reference field="15" count="1" selected="0">
            <x v="65"/>
          </reference>
        </references>
      </pivotArea>
    </chartFormat>
    <chartFormat chart="18" format="240" series="1">
      <pivotArea type="data" outline="0" fieldPosition="0">
        <references count="2">
          <reference field="4294967294" count="1" selected="0">
            <x v="0"/>
          </reference>
          <reference field="15" count="1" selected="0">
            <x v="66"/>
          </reference>
        </references>
      </pivotArea>
    </chartFormat>
    <chartFormat chart="18" format="241" series="1">
      <pivotArea type="data" outline="0" fieldPosition="0">
        <references count="2">
          <reference field="4294967294" count="1" selected="0">
            <x v="0"/>
          </reference>
          <reference field="15" count="1" selected="0">
            <x v="67"/>
          </reference>
        </references>
      </pivotArea>
    </chartFormat>
    <chartFormat chart="18" format="242" series="1">
      <pivotArea type="data" outline="0" fieldPosition="0">
        <references count="2">
          <reference field="4294967294" count="1" selected="0">
            <x v="0"/>
          </reference>
          <reference field="15" count="1" selected="0">
            <x v="68"/>
          </reference>
        </references>
      </pivotArea>
    </chartFormat>
    <chartFormat chart="18" format="243" series="1">
      <pivotArea type="data" outline="0" fieldPosition="0">
        <references count="2">
          <reference field="4294967294" count="1" selected="0">
            <x v="0"/>
          </reference>
          <reference field="15" count="1" selected="0">
            <x v="69"/>
          </reference>
        </references>
      </pivotArea>
    </chartFormat>
    <chartFormat chart="18" format="244" series="1">
      <pivotArea type="data" outline="0" fieldPosition="0">
        <references count="2">
          <reference field="4294967294" count="1" selected="0">
            <x v="0"/>
          </reference>
          <reference field="15" count="1" selected="0">
            <x v="70"/>
          </reference>
        </references>
      </pivotArea>
    </chartFormat>
    <chartFormat chart="18" format="245" series="1">
      <pivotArea type="data" outline="0" fieldPosition="0">
        <references count="2">
          <reference field="4294967294" count="1" selected="0">
            <x v="0"/>
          </reference>
          <reference field="15" count="1" selected="0">
            <x v="71"/>
          </reference>
        </references>
      </pivotArea>
    </chartFormat>
    <chartFormat chart="18" format="246" series="1">
      <pivotArea type="data" outline="0" fieldPosition="0">
        <references count="2">
          <reference field="4294967294" count="1" selected="0">
            <x v="0"/>
          </reference>
          <reference field="15" count="1" selected="0">
            <x v="72"/>
          </reference>
        </references>
      </pivotArea>
    </chartFormat>
    <chartFormat chart="18" format="247" series="1">
      <pivotArea type="data" outline="0" fieldPosition="0">
        <references count="2">
          <reference field="4294967294" count="1" selected="0">
            <x v="0"/>
          </reference>
          <reference field="15" count="1" selected="0">
            <x v="73"/>
          </reference>
        </references>
      </pivotArea>
    </chartFormat>
    <chartFormat chart="18" format="248" series="1">
      <pivotArea type="data" outline="0" fieldPosition="0">
        <references count="2">
          <reference field="4294967294" count="1" selected="0">
            <x v="0"/>
          </reference>
          <reference field="15" count="1" selected="0">
            <x v="74"/>
          </reference>
        </references>
      </pivotArea>
    </chartFormat>
    <chartFormat chart="18" format="249" series="1">
      <pivotArea type="data" outline="0" fieldPosition="0">
        <references count="2">
          <reference field="4294967294" count="1" selected="0">
            <x v="0"/>
          </reference>
          <reference field="15" count="1" selected="0">
            <x v="75"/>
          </reference>
        </references>
      </pivotArea>
    </chartFormat>
    <chartFormat chart="18" format="250" series="1">
      <pivotArea type="data" outline="0" fieldPosition="0">
        <references count="2">
          <reference field="4294967294" count="1" selected="0">
            <x v="0"/>
          </reference>
          <reference field="15" count="1" selected="0">
            <x v="76"/>
          </reference>
        </references>
      </pivotArea>
    </chartFormat>
    <chartFormat chart="18" format="251" series="1">
      <pivotArea type="data" outline="0" fieldPosition="0">
        <references count="2">
          <reference field="4294967294" count="1" selected="0">
            <x v="0"/>
          </reference>
          <reference field="15" count="1" selected="0">
            <x v="77"/>
          </reference>
        </references>
      </pivotArea>
    </chartFormat>
    <chartFormat chart="18" format="252" series="1">
      <pivotArea type="data" outline="0" fieldPosition="0">
        <references count="2">
          <reference field="4294967294" count="1" selected="0">
            <x v="0"/>
          </reference>
          <reference field="15" count="1" selected="0">
            <x v="78"/>
          </reference>
        </references>
      </pivotArea>
    </chartFormat>
    <chartFormat chart="18" format="253" series="1">
      <pivotArea type="data" outline="0" fieldPosition="0">
        <references count="2">
          <reference field="4294967294" count="1" selected="0">
            <x v="0"/>
          </reference>
          <reference field="15" count="1" selected="0">
            <x v="79"/>
          </reference>
        </references>
      </pivotArea>
    </chartFormat>
    <chartFormat chart="18" format="254" series="1">
      <pivotArea type="data" outline="0" fieldPosition="0">
        <references count="2">
          <reference field="4294967294" count="1" selected="0">
            <x v="0"/>
          </reference>
          <reference field="15" count="1" selected="0">
            <x v="80"/>
          </reference>
        </references>
      </pivotArea>
    </chartFormat>
    <chartFormat chart="18" format="255" series="1">
      <pivotArea type="data" outline="0" fieldPosition="0">
        <references count="2">
          <reference field="4294967294" count="1" selected="0">
            <x v="0"/>
          </reference>
          <reference field="15" count="1" selected="0">
            <x v="81"/>
          </reference>
        </references>
      </pivotArea>
    </chartFormat>
    <chartFormat chart="18" format="256" series="1">
      <pivotArea type="data" outline="0" fieldPosition="0">
        <references count="2">
          <reference field="4294967294" count="1" selected="0">
            <x v="0"/>
          </reference>
          <reference field="15" count="1" selected="0">
            <x v="82"/>
          </reference>
        </references>
      </pivotArea>
    </chartFormat>
    <chartFormat chart="18" format="257" series="1">
      <pivotArea type="data" outline="0" fieldPosition="0">
        <references count="2">
          <reference field="4294967294" count="1" selected="0">
            <x v="0"/>
          </reference>
          <reference field="15" count="1" selected="0">
            <x v="83"/>
          </reference>
        </references>
      </pivotArea>
    </chartFormat>
    <chartFormat chart="18" format="258" series="1">
      <pivotArea type="data" outline="0" fieldPosition="0">
        <references count="2">
          <reference field="4294967294" count="1" selected="0">
            <x v="0"/>
          </reference>
          <reference field="15" count="1" selected="0">
            <x v="84"/>
          </reference>
        </references>
      </pivotArea>
    </chartFormat>
    <chartFormat chart="18" format="259" series="1">
      <pivotArea type="data" outline="0" fieldPosition="0">
        <references count="2">
          <reference field="4294967294" count="1" selected="0">
            <x v="0"/>
          </reference>
          <reference field="15" count="1" selected="0">
            <x v="85"/>
          </reference>
        </references>
      </pivotArea>
    </chartFormat>
    <chartFormat chart="18" format="260" series="1">
      <pivotArea type="data" outline="0" fieldPosition="0">
        <references count="2">
          <reference field="4294967294" count="1" selected="0">
            <x v="0"/>
          </reference>
          <reference field="15" count="1" selected="0">
            <x v="86"/>
          </reference>
        </references>
      </pivotArea>
    </chartFormat>
    <chartFormat chart="18" format="261" series="1">
      <pivotArea type="data" outline="0" fieldPosition="0">
        <references count="2">
          <reference field="4294967294" count="1" selected="0">
            <x v="0"/>
          </reference>
          <reference field="15" count="1" selected="0">
            <x v="87"/>
          </reference>
        </references>
      </pivotArea>
    </chartFormat>
    <chartFormat chart="18" format="262" series="1">
      <pivotArea type="data" outline="0" fieldPosition="0">
        <references count="2">
          <reference field="4294967294" count="1" selected="0">
            <x v="0"/>
          </reference>
          <reference field="15" count="1" selected="0">
            <x v="88"/>
          </reference>
        </references>
      </pivotArea>
    </chartFormat>
    <chartFormat chart="18" format="263" series="1">
      <pivotArea type="data" outline="0" fieldPosition="0">
        <references count="2">
          <reference field="4294967294" count="1" selected="0">
            <x v="0"/>
          </reference>
          <reference field="15" count="1" selected="0">
            <x v="8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F769A93-F767-4099-9C0A-A7D53A0AB869}" sourceName="Order Mode">
  <pivotTables>
    <pivotTable tabId="11" name="PivotTable8"/>
    <pivotTable tabId="5" name="PivotTable1"/>
    <pivotTable tabId="5" name="PivotTable3"/>
    <pivotTable tabId="8" name="PivotTable4"/>
    <pivotTable tabId="9" name="PivotTable5"/>
    <pivotTable tabId="10" name="PivotTable6"/>
    <pivotTable tabId="10" name="PivotTable7"/>
  </pivotTables>
  <data>
    <tabular pivotCacheId="52260711">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D021AE5-3966-4438-BC2B-E4DC9E267019}" sourceName="Gender Value">
  <pivotTables>
    <pivotTable tabId="11" name="PivotTable8"/>
    <pivotTable tabId="5" name="PivotTable1"/>
    <pivotTable tabId="5" name="PivotTable3"/>
    <pivotTable tabId="8" name="PivotTable4"/>
    <pivotTable tabId="9" name="PivotTable5"/>
    <pivotTable tabId="10" name="PivotTable6"/>
    <pivotTable tabId="10" name="PivotTable7"/>
  </pivotTables>
  <data>
    <tabular pivotCacheId="52260711">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060553E-99B4-49B2-BD06-18BD0EAC40E6}" cache="Slicer_Order_Mode" caption="Order Mode" rowHeight="247650"/>
  <slicer name="Gender Value" xr10:uid="{7869FE8B-E32E-42DF-B67A-447FC412E5F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J2" workbookViewId="0">
      <selection activeCell="E11" sqref="E1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7"/>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topLeftCell="A4" zoomScale="76" zoomScaleNormal="55" workbookViewId="0">
      <selection activeCell="Y27" sqref="Y27"/>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53E3A-E5A8-46C4-9AAC-35E065089EB3}">
  <dimension ref="A2:L26"/>
  <sheetViews>
    <sheetView workbookViewId="0">
      <selection activeCell="C13" sqref="C13"/>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s>
  <sheetData>
    <row r="2" spans="1:12" x14ac:dyDescent="0.3">
      <c r="H2" t="s">
        <v>2524</v>
      </c>
    </row>
    <row r="3" spans="1:12" x14ac:dyDescent="0.3">
      <c r="A3" t="s">
        <v>2519</v>
      </c>
      <c r="B3" t="s">
        <v>2520</v>
      </c>
      <c r="C3" t="s">
        <v>2521</v>
      </c>
      <c r="D3" t="s">
        <v>2522</v>
      </c>
      <c r="E3" t="s">
        <v>2523</v>
      </c>
      <c r="H3" t="s">
        <v>2525</v>
      </c>
      <c r="I3" t="s">
        <v>2526</v>
      </c>
      <c r="J3" t="s">
        <v>2527</v>
      </c>
      <c r="K3" t="s">
        <v>2528</v>
      </c>
      <c r="L3" t="s">
        <v>2529</v>
      </c>
    </row>
    <row r="4" spans="1:12" x14ac:dyDescent="0.3">
      <c r="A4" s="7">
        <v>456</v>
      </c>
      <c r="B4" s="7">
        <v>2240</v>
      </c>
      <c r="C4" s="7">
        <v>123066.00000000009</v>
      </c>
      <c r="D4" s="7">
        <v>3.9649122807017543</v>
      </c>
      <c r="E4" s="7">
        <v>2.6491228070175437</v>
      </c>
      <c r="H4" t="str">
        <f>TEXT(A4,"#,##")</f>
        <v>456</v>
      </c>
      <c r="I4" t="str">
        <f t="shared" ref="I4:L4" si="0">TEXT(B4,"#,##")</f>
        <v>2,240</v>
      </c>
      <c r="J4" t="str">
        <f>TEXT(C4,"$#,##,.0k")</f>
        <v>$123.1k</v>
      </c>
      <c r="K4" t="str">
        <f>TEXT(D4,"0.0")</f>
        <v>4.0</v>
      </c>
      <c r="L4" t="str">
        <f>TEXT(E4,"0.0")</f>
        <v>2.6</v>
      </c>
    </row>
    <row r="12" spans="1:12" x14ac:dyDescent="0.3">
      <c r="A12" s="5" t="s">
        <v>2517</v>
      </c>
      <c r="B12" t="s">
        <v>2520</v>
      </c>
      <c r="C12" t="s">
        <v>2521</v>
      </c>
    </row>
    <row r="13" spans="1:12" x14ac:dyDescent="0.3">
      <c r="A13" s="6">
        <v>1</v>
      </c>
      <c r="B13" s="7">
        <v>114</v>
      </c>
      <c r="C13" s="8">
        <v>6864.1</v>
      </c>
    </row>
    <row r="14" spans="1:12" x14ac:dyDescent="0.3">
      <c r="A14" s="6">
        <v>2</v>
      </c>
      <c r="B14" s="7">
        <v>191</v>
      </c>
      <c r="C14" s="8">
        <v>12839.000000000002</v>
      </c>
    </row>
    <row r="15" spans="1:12" x14ac:dyDescent="0.3">
      <c r="A15" s="6">
        <v>3</v>
      </c>
      <c r="B15" s="7">
        <v>111</v>
      </c>
      <c r="C15" s="8">
        <v>5635.2</v>
      </c>
    </row>
    <row r="16" spans="1:12" x14ac:dyDescent="0.3">
      <c r="A16" s="6">
        <v>4</v>
      </c>
      <c r="B16" s="7">
        <v>114</v>
      </c>
      <c r="C16" s="8">
        <v>6687.1</v>
      </c>
    </row>
    <row r="17" spans="1:3" x14ac:dyDescent="0.3">
      <c r="A17" s="6">
        <v>5</v>
      </c>
      <c r="B17" s="7">
        <v>197</v>
      </c>
      <c r="C17" s="8">
        <v>10485.699999999999</v>
      </c>
    </row>
    <row r="18" spans="1:3" x14ac:dyDescent="0.3">
      <c r="A18" s="6">
        <v>6</v>
      </c>
      <c r="B18" s="7">
        <v>345</v>
      </c>
      <c r="C18" s="8">
        <v>16762.299999999996</v>
      </c>
    </row>
    <row r="19" spans="1:3" x14ac:dyDescent="0.3">
      <c r="A19" s="6">
        <v>7</v>
      </c>
      <c r="B19" s="7">
        <v>245</v>
      </c>
      <c r="C19" s="8">
        <v>11681.299999999997</v>
      </c>
    </row>
    <row r="20" spans="1:3" x14ac:dyDescent="0.3">
      <c r="A20" s="6">
        <v>8</v>
      </c>
      <c r="B20" s="7">
        <v>191</v>
      </c>
      <c r="C20" s="8">
        <v>9424</v>
      </c>
    </row>
    <row r="21" spans="1:3" x14ac:dyDescent="0.3">
      <c r="A21" s="6">
        <v>9</v>
      </c>
      <c r="B21" s="7">
        <v>211</v>
      </c>
      <c r="C21" s="8">
        <v>10219.300000000001</v>
      </c>
    </row>
    <row r="22" spans="1:3" x14ac:dyDescent="0.3">
      <c r="A22" s="6">
        <v>10</v>
      </c>
      <c r="B22" s="7">
        <v>170</v>
      </c>
      <c r="C22" s="8">
        <v>9693.5999999999985</v>
      </c>
    </row>
    <row r="23" spans="1:3" x14ac:dyDescent="0.3">
      <c r="A23" s="6">
        <v>11</v>
      </c>
      <c r="B23" s="7">
        <v>100</v>
      </c>
      <c r="C23" s="8">
        <v>5402.7999999999993</v>
      </c>
    </row>
    <row r="24" spans="1:3" x14ac:dyDescent="0.3">
      <c r="A24" s="6">
        <v>12</v>
      </c>
      <c r="B24" s="7">
        <v>144</v>
      </c>
      <c r="C24" s="8">
        <v>10369.700000000001</v>
      </c>
    </row>
    <row r="25" spans="1:3" x14ac:dyDescent="0.3">
      <c r="A25" s="6">
        <v>13</v>
      </c>
      <c r="B25" s="7">
        <v>107</v>
      </c>
      <c r="C25" s="8">
        <v>7001.9000000000005</v>
      </c>
    </row>
    <row r="26" spans="1:3" x14ac:dyDescent="0.3">
      <c r="A26" s="6" t="s">
        <v>2518</v>
      </c>
      <c r="B26" s="7">
        <v>2240</v>
      </c>
      <c r="C26" s="8">
        <v>123066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C011-21B4-4F12-BCD9-29ACDAFEF409}">
  <dimension ref="A2:L10"/>
  <sheetViews>
    <sheetView workbookViewId="0">
      <selection activeCell="G19" sqref="G19"/>
    </sheetView>
  </sheetViews>
  <sheetFormatPr defaultRowHeight="14.4" x14ac:dyDescent="0.3"/>
  <cols>
    <col min="1" max="1" width="13.5546875" bestFit="1" customWidth="1"/>
    <col min="2" max="2" width="15.5546875" bestFit="1" customWidth="1"/>
    <col min="3" max="3" width="10.5546875" bestFit="1" customWidth="1"/>
    <col min="4" max="4" width="6.109375" bestFit="1" customWidth="1"/>
    <col min="5" max="5" width="8.5546875" bestFit="1" customWidth="1"/>
    <col min="6" max="6" width="10.5546875" bestFit="1" customWidth="1"/>
    <col min="8" max="8" width="11.88671875" customWidth="1"/>
    <col min="9" max="9" width="10.6640625" customWidth="1"/>
    <col min="10" max="10" width="10.21875" customWidth="1"/>
    <col min="11" max="11" width="10" customWidth="1"/>
    <col min="12" max="12" width="13.21875" customWidth="1"/>
  </cols>
  <sheetData>
    <row r="2" spans="1:12" x14ac:dyDescent="0.3">
      <c r="H2" t="s">
        <v>2619</v>
      </c>
    </row>
    <row r="3" spans="1:12" x14ac:dyDescent="0.3">
      <c r="A3" s="5" t="s">
        <v>2521</v>
      </c>
      <c r="B3" s="5" t="s">
        <v>2617</v>
      </c>
    </row>
    <row r="4" spans="1:12" ht="22.2" customHeight="1" x14ac:dyDescent="0.3">
      <c r="A4" s="5" t="s">
        <v>2517</v>
      </c>
      <c r="B4" t="s">
        <v>2618</v>
      </c>
      <c r="C4" t="s">
        <v>2518</v>
      </c>
      <c r="I4" s="10" t="str">
        <f>B4</f>
        <v>Female</v>
      </c>
      <c r="J4" s="10" t="str">
        <f t="shared" ref="J4:L4" si="0">C4</f>
        <v>Grand Total</v>
      </c>
      <c r="K4" s="10">
        <f t="shared" si="0"/>
        <v>0</v>
      </c>
      <c r="L4" s="10">
        <f t="shared" si="0"/>
        <v>0</v>
      </c>
    </row>
    <row r="5" spans="1:12" ht="25.8" customHeight="1" x14ac:dyDescent="0.3">
      <c r="A5" s="6" t="s">
        <v>18</v>
      </c>
      <c r="B5" s="9">
        <v>1</v>
      </c>
      <c r="C5" s="9">
        <v>1</v>
      </c>
      <c r="H5" t="str">
        <f>A5</f>
        <v>App</v>
      </c>
      <c r="I5">
        <f t="shared" ref="I5:L10" si="1">B5</f>
        <v>1</v>
      </c>
      <c r="J5">
        <f t="shared" si="1"/>
        <v>1</v>
      </c>
      <c r="K5">
        <f t="shared" si="1"/>
        <v>0</v>
      </c>
      <c r="L5">
        <f t="shared" si="1"/>
        <v>0</v>
      </c>
    </row>
    <row r="6" spans="1:12" ht="28.2" customHeight="1" x14ac:dyDescent="0.3">
      <c r="A6" s="6" t="s">
        <v>2518</v>
      </c>
      <c r="B6" s="9">
        <v>1</v>
      </c>
      <c r="C6" s="9">
        <v>1</v>
      </c>
      <c r="H6" t="str">
        <f t="shared" ref="H6:H9" si="2">A6</f>
        <v>Grand Total</v>
      </c>
      <c r="I6">
        <f t="shared" si="1"/>
        <v>1</v>
      </c>
      <c r="J6">
        <f t="shared" si="1"/>
        <v>1</v>
      </c>
      <c r="K6">
        <f t="shared" si="1"/>
        <v>0</v>
      </c>
      <c r="L6">
        <f t="shared" si="1"/>
        <v>0</v>
      </c>
    </row>
    <row r="7" spans="1:12" ht="34.799999999999997" customHeight="1" x14ac:dyDescent="0.3">
      <c r="H7">
        <f t="shared" si="2"/>
        <v>0</v>
      </c>
      <c r="I7">
        <f t="shared" si="1"/>
        <v>0</v>
      </c>
      <c r="J7">
        <f t="shared" si="1"/>
        <v>0</v>
      </c>
      <c r="K7">
        <f t="shared" si="1"/>
        <v>0</v>
      </c>
      <c r="L7">
        <f t="shared" si="1"/>
        <v>0</v>
      </c>
    </row>
    <row r="8" spans="1:12" ht="31.2" customHeight="1" x14ac:dyDescent="0.3">
      <c r="H8">
        <f t="shared" si="2"/>
        <v>0</v>
      </c>
      <c r="I8">
        <f t="shared" si="1"/>
        <v>0</v>
      </c>
      <c r="J8">
        <f t="shared" si="1"/>
        <v>0</v>
      </c>
      <c r="K8">
        <f t="shared" si="1"/>
        <v>0</v>
      </c>
      <c r="L8">
        <f t="shared" si="1"/>
        <v>0</v>
      </c>
    </row>
    <row r="9" spans="1:12" ht="33" customHeight="1" x14ac:dyDescent="0.3">
      <c r="H9">
        <f t="shared" si="2"/>
        <v>0</v>
      </c>
      <c r="I9">
        <f t="shared" si="1"/>
        <v>0</v>
      </c>
      <c r="J9">
        <f t="shared" si="1"/>
        <v>0</v>
      </c>
      <c r="K9">
        <f t="shared" si="1"/>
        <v>0</v>
      </c>
      <c r="L9">
        <f t="shared" si="1"/>
        <v>0</v>
      </c>
    </row>
    <row r="10" spans="1:12" ht="25.8" customHeight="1" x14ac:dyDescent="0.3"/>
  </sheetData>
  <conditionalFormatting sqref="H4:L9">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DD7D-5174-4D73-9E12-82203020E8EB}">
  <dimension ref="A3:B21"/>
  <sheetViews>
    <sheetView workbookViewId="0">
      <selection activeCell="A9" sqref="A9:B9"/>
      <pivotSelection pane="bottomRight" showHeader="1" extendable="1" axis="axisRow" start="5" max="37" activeRow="8" previousRow="8" click="1" r:id="rId1">
        <pivotArea dataOnly="0" fieldPosition="0">
          <references count="1">
            <reference field="17" count="1">
              <x v="5"/>
            </reference>
          </references>
        </pivotArea>
      </pivotSelection>
    </sheetView>
  </sheetViews>
  <sheetFormatPr defaultRowHeight="14.4" x14ac:dyDescent="0.3"/>
  <cols>
    <col min="1" max="1" width="12.44140625" bestFit="1" customWidth="1"/>
    <col min="2" max="2" width="12.21875" bestFit="1" customWidth="1"/>
  </cols>
  <sheetData>
    <row r="3" spans="1:2" x14ac:dyDescent="0.3">
      <c r="A3" s="5" t="s">
        <v>2517</v>
      </c>
      <c r="B3" t="s">
        <v>2519</v>
      </c>
    </row>
    <row r="4" spans="1:2" x14ac:dyDescent="0.3">
      <c r="A4" s="6">
        <v>1</v>
      </c>
      <c r="B4" s="7">
        <v>84</v>
      </c>
    </row>
    <row r="5" spans="1:2" x14ac:dyDescent="0.3">
      <c r="A5" s="6">
        <v>2</v>
      </c>
      <c r="B5" s="7">
        <v>93</v>
      </c>
    </row>
    <row r="6" spans="1:2" x14ac:dyDescent="0.3">
      <c r="A6" s="6">
        <v>3</v>
      </c>
      <c r="B6" s="7">
        <v>67</v>
      </c>
    </row>
    <row r="7" spans="1:2" x14ac:dyDescent="0.3">
      <c r="A7" s="6">
        <v>4</v>
      </c>
      <c r="B7" s="7">
        <v>47</v>
      </c>
    </row>
    <row r="8" spans="1:2" x14ac:dyDescent="0.3">
      <c r="A8" s="6">
        <v>5</v>
      </c>
      <c r="B8" s="7">
        <v>41</v>
      </c>
    </row>
    <row r="9" spans="1:2" x14ac:dyDescent="0.3">
      <c r="A9" s="6" t="s">
        <v>2620</v>
      </c>
      <c r="B9" s="7">
        <v>92</v>
      </c>
    </row>
    <row r="10" spans="1:2" x14ac:dyDescent="0.3">
      <c r="A10" s="6" t="s">
        <v>2621</v>
      </c>
      <c r="B10" s="7">
        <v>21</v>
      </c>
    </row>
    <row r="11" spans="1:2" x14ac:dyDescent="0.3">
      <c r="A11" s="6">
        <v>21</v>
      </c>
      <c r="B11" s="7">
        <v>2</v>
      </c>
    </row>
    <row r="12" spans="1:2" x14ac:dyDescent="0.3">
      <c r="A12" s="6">
        <v>22</v>
      </c>
      <c r="B12" s="7">
        <v>1</v>
      </c>
    </row>
    <row r="13" spans="1:2" x14ac:dyDescent="0.3">
      <c r="A13" s="6">
        <v>25</v>
      </c>
      <c r="B13" s="7">
        <v>1</v>
      </c>
    </row>
    <row r="14" spans="1:2" x14ac:dyDescent="0.3">
      <c r="A14" s="6">
        <v>26</v>
      </c>
      <c r="B14" s="7">
        <v>1</v>
      </c>
    </row>
    <row r="15" spans="1:2" x14ac:dyDescent="0.3">
      <c r="A15" s="6">
        <v>28</v>
      </c>
      <c r="B15" s="7">
        <v>1</v>
      </c>
    </row>
    <row r="16" spans="1:2" x14ac:dyDescent="0.3">
      <c r="A16" s="6">
        <v>29</v>
      </c>
      <c r="B16" s="7">
        <v>1</v>
      </c>
    </row>
    <row r="17" spans="1:2" x14ac:dyDescent="0.3">
      <c r="A17" s="6">
        <v>35</v>
      </c>
      <c r="B17" s="7">
        <v>1</v>
      </c>
    </row>
    <row r="18" spans="1:2" x14ac:dyDescent="0.3">
      <c r="A18" s="6">
        <v>41</v>
      </c>
      <c r="B18" s="7">
        <v>1</v>
      </c>
    </row>
    <row r="19" spans="1:2" x14ac:dyDescent="0.3">
      <c r="A19" s="6">
        <v>43</v>
      </c>
      <c r="B19" s="7">
        <v>1</v>
      </c>
    </row>
    <row r="20" spans="1:2" x14ac:dyDescent="0.3">
      <c r="A20" s="6">
        <v>47</v>
      </c>
      <c r="B20" s="7">
        <v>1</v>
      </c>
    </row>
    <row r="21" spans="1:2" x14ac:dyDescent="0.3">
      <c r="A21" s="6" t="s">
        <v>2518</v>
      </c>
      <c r="B21" s="7">
        <v>456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5BEC-FC7C-45C3-9876-8808B21A2F48}">
  <dimension ref="A3:I25"/>
  <sheetViews>
    <sheetView workbookViewId="0">
      <selection activeCell="G26" sqref="G26"/>
    </sheetView>
  </sheetViews>
  <sheetFormatPr defaultRowHeight="14.4" x14ac:dyDescent="0.3"/>
  <cols>
    <col min="1" max="1" width="19.109375" bestFit="1" customWidth="1"/>
    <col min="2" max="2" width="15.5546875" bestFit="1" customWidth="1"/>
    <col min="3" max="3" width="10.5546875" bestFit="1" customWidth="1"/>
    <col min="4" max="4" width="5.6640625" bestFit="1" customWidth="1"/>
    <col min="5" max="5" width="8.5546875" bestFit="1" customWidth="1"/>
    <col min="6" max="6" width="10.5546875" bestFit="1" customWidth="1"/>
    <col min="8" max="8" width="12.44140625" bestFit="1" customWidth="1"/>
    <col min="9" max="9" width="14.21875" bestFit="1" customWidth="1"/>
    <col min="10" max="10" width="5" bestFit="1" customWidth="1"/>
    <col min="11" max="11" width="5.6640625" bestFit="1" customWidth="1"/>
    <col min="12" max="12" width="8.5546875" bestFit="1" customWidth="1"/>
    <col min="13" max="13" width="10.5546875" bestFit="1" customWidth="1"/>
  </cols>
  <sheetData>
    <row r="3" spans="1:9" x14ac:dyDescent="0.3">
      <c r="A3" s="5" t="s">
        <v>2520</v>
      </c>
      <c r="B3" s="5" t="s">
        <v>2617</v>
      </c>
      <c r="H3" s="5" t="s">
        <v>2517</v>
      </c>
      <c r="I3" t="s">
        <v>2520</v>
      </c>
    </row>
    <row r="4" spans="1:9" x14ac:dyDescent="0.3">
      <c r="A4" s="5" t="s">
        <v>2517</v>
      </c>
      <c r="B4" t="s">
        <v>2618</v>
      </c>
      <c r="C4" t="s">
        <v>2518</v>
      </c>
      <c r="H4" s="6" t="s">
        <v>2618</v>
      </c>
      <c r="I4" s="7">
        <v>2240</v>
      </c>
    </row>
    <row r="5" spans="1:9" x14ac:dyDescent="0.3">
      <c r="A5" s="6" t="s">
        <v>39</v>
      </c>
      <c r="B5" s="7">
        <v>318</v>
      </c>
      <c r="C5" s="7">
        <v>318</v>
      </c>
      <c r="H5" s="6" t="s">
        <v>2518</v>
      </c>
      <c r="I5" s="7">
        <v>2240</v>
      </c>
    </row>
    <row r="6" spans="1:9" x14ac:dyDescent="0.3">
      <c r="A6" s="6" t="s">
        <v>26</v>
      </c>
      <c r="B6" s="7">
        <v>266</v>
      </c>
      <c r="C6" s="7">
        <v>266</v>
      </c>
    </row>
    <row r="7" spans="1:9" x14ac:dyDescent="0.3">
      <c r="A7" s="6" t="s">
        <v>44</v>
      </c>
      <c r="B7" s="7">
        <v>240</v>
      </c>
      <c r="C7" s="7">
        <v>240</v>
      </c>
    </row>
    <row r="8" spans="1:9" x14ac:dyDescent="0.3">
      <c r="A8" s="6" t="s">
        <v>22</v>
      </c>
      <c r="B8" s="7">
        <v>192</v>
      </c>
      <c r="C8" s="7">
        <v>192</v>
      </c>
    </row>
    <row r="9" spans="1:9" x14ac:dyDescent="0.3">
      <c r="A9" s="6" t="s">
        <v>46</v>
      </c>
      <c r="B9" s="7">
        <v>164</v>
      </c>
      <c r="C9" s="7">
        <v>164</v>
      </c>
    </row>
    <row r="10" spans="1:9" x14ac:dyDescent="0.3">
      <c r="A10" s="6" t="s">
        <v>16</v>
      </c>
      <c r="B10" s="7">
        <v>163</v>
      </c>
      <c r="C10" s="7">
        <v>163</v>
      </c>
    </row>
    <row r="11" spans="1:9" x14ac:dyDescent="0.3">
      <c r="A11" s="6" t="s">
        <v>32</v>
      </c>
      <c r="B11" s="7">
        <v>152</v>
      </c>
      <c r="C11" s="7">
        <v>152</v>
      </c>
    </row>
    <row r="12" spans="1:9" x14ac:dyDescent="0.3">
      <c r="A12" s="6" t="s">
        <v>54</v>
      </c>
      <c r="B12" s="7">
        <v>152</v>
      </c>
      <c r="C12" s="7">
        <v>152</v>
      </c>
    </row>
    <row r="13" spans="1:9" x14ac:dyDescent="0.3">
      <c r="A13" s="6" t="s">
        <v>37</v>
      </c>
      <c r="B13" s="7">
        <v>116</v>
      </c>
      <c r="C13" s="7">
        <v>116</v>
      </c>
    </row>
    <row r="14" spans="1:9" x14ac:dyDescent="0.3">
      <c r="A14" s="6" t="s">
        <v>42</v>
      </c>
      <c r="B14" s="7">
        <v>96</v>
      </c>
      <c r="C14" s="7">
        <v>96</v>
      </c>
    </row>
    <row r="15" spans="1:9" x14ac:dyDescent="0.3">
      <c r="A15" s="6" t="s">
        <v>69</v>
      </c>
      <c r="B15" s="7">
        <v>84</v>
      </c>
      <c r="C15" s="7">
        <v>84</v>
      </c>
    </row>
    <row r="16" spans="1:9" x14ac:dyDescent="0.3">
      <c r="A16" s="6" t="s">
        <v>146</v>
      </c>
      <c r="B16" s="7">
        <v>72</v>
      </c>
      <c r="C16" s="7">
        <v>72</v>
      </c>
    </row>
    <row r="17" spans="1:3" x14ac:dyDescent="0.3">
      <c r="A17" s="6" t="s">
        <v>123</v>
      </c>
      <c r="B17" s="7">
        <v>61</v>
      </c>
      <c r="C17" s="7">
        <v>61</v>
      </c>
    </row>
    <row r="18" spans="1:3" x14ac:dyDescent="0.3">
      <c r="A18" s="6" t="s">
        <v>30</v>
      </c>
      <c r="B18" s="7">
        <v>39</v>
      </c>
      <c r="C18" s="7">
        <v>39</v>
      </c>
    </row>
    <row r="19" spans="1:3" x14ac:dyDescent="0.3">
      <c r="A19" s="6" t="s">
        <v>67</v>
      </c>
      <c r="B19" s="7">
        <v>37</v>
      </c>
      <c r="C19" s="7">
        <v>37</v>
      </c>
    </row>
    <row r="20" spans="1:3" x14ac:dyDescent="0.3">
      <c r="A20" s="6" t="s">
        <v>128</v>
      </c>
      <c r="B20" s="7">
        <v>35</v>
      </c>
      <c r="C20" s="7">
        <v>35</v>
      </c>
    </row>
    <row r="21" spans="1:3" x14ac:dyDescent="0.3">
      <c r="A21" s="6" t="s">
        <v>76</v>
      </c>
      <c r="B21" s="7">
        <v>22</v>
      </c>
      <c r="C21" s="7">
        <v>22</v>
      </c>
    </row>
    <row r="22" spans="1:3" x14ac:dyDescent="0.3">
      <c r="A22" s="6" t="s">
        <v>135</v>
      </c>
      <c r="B22" s="7">
        <v>17</v>
      </c>
      <c r="C22" s="7">
        <v>17</v>
      </c>
    </row>
    <row r="23" spans="1:3" x14ac:dyDescent="0.3">
      <c r="A23" s="6" t="s">
        <v>81</v>
      </c>
      <c r="B23" s="7">
        <v>11</v>
      </c>
      <c r="C23" s="7">
        <v>11</v>
      </c>
    </row>
    <row r="24" spans="1:3" x14ac:dyDescent="0.3">
      <c r="A24" s="6" t="s">
        <v>171</v>
      </c>
      <c r="B24" s="7">
        <v>3</v>
      </c>
      <c r="C24" s="7">
        <v>3</v>
      </c>
    </row>
    <row r="25" spans="1:3" x14ac:dyDescent="0.3">
      <c r="A25" s="6" t="s">
        <v>2518</v>
      </c>
      <c r="B25" s="7">
        <v>2240</v>
      </c>
      <c r="C25" s="7">
        <v>2240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8FC5-6D5F-45E7-A890-D82E8D031351}">
  <dimension ref="A3:CK10"/>
  <sheetViews>
    <sheetView topLeftCell="E4" workbookViewId="0">
      <selection activeCell="T20" sqref="T20"/>
    </sheetView>
  </sheetViews>
  <sheetFormatPr defaultRowHeight="14.4" x14ac:dyDescent="0.3"/>
  <cols>
    <col min="1" max="1" width="12.44140625" bestFit="1" customWidth="1"/>
    <col min="2" max="2" width="15.5546875" bestFit="1" customWidth="1"/>
    <col min="3" max="32" width="6.33203125" bestFit="1" customWidth="1"/>
    <col min="33" max="88" width="6.77734375" bestFit="1" customWidth="1"/>
    <col min="89" max="90" width="10.5546875" bestFit="1" customWidth="1"/>
  </cols>
  <sheetData>
    <row r="3" spans="1:89" x14ac:dyDescent="0.3">
      <c r="A3" s="5" t="s">
        <v>2519</v>
      </c>
      <c r="B3" s="5" t="s">
        <v>2617</v>
      </c>
    </row>
    <row r="4" spans="1:89" x14ac:dyDescent="0.3">
      <c r="A4" s="5" t="s">
        <v>2517</v>
      </c>
      <c r="B4" t="s">
        <v>2530</v>
      </c>
      <c r="C4" t="s">
        <v>2531</v>
      </c>
      <c r="D4" t="s">
        <v>2532</v>
      </c>
      <c r="E4" t="s">
        <v>2533</v>
      </c>
      <c r="F4" t="s">
        <v>2534</v>
      </c>
      <c r="G4" t="s">
        <v>2535</v>
      </c>
      <c r="H4" t="s">
        <v>2536</v>
      </c>
      <c r="I4" t="s">
        <v>2537</v>
      </c>
      <c r="J4" t="s">
        <v>2538</v>
      </c>
      <c r="K4" t="s">
        <v>2539</v>
      </c>
      <c r="L4" t="s">
        <v>2540</v>
      </c>
      <c r="M4" t="s">
        <v>2541</v>
      </c>
      <c r="N4" t="s">
        <v>2542</v>
      </c>
      <c r="O4" t="s">
        <v>2543</v>
      </c>
      <c r="P4" t="s">
        <v>2544</v>
      </c>
      <c r="Q4" t="s">
        <v>2545</v>
      </c>
      <c r="R4" t="s">
        <v>2546</v>
      </c>
      <c r="S4" t="s">
        <v>2547</v>
      </c>
      <c r="T4" t="s">
        <v>2548</v>
      </c>
      <c r="U4" t="s">
        <v>2549</v>
      </c>
      <c r="V4" t="s">
        <v>2550</v>
      </c>
      <c r="W4" t="s">
        <v>2551</v>
      </c>
      <c r="X4" t="s">
        <v>2552</v>
      </c>
      <c r="Y4" t="s">
        <v>2553</v>
      </c>
      <c r="Z4" t="s">
        <v>2554</v>
      </c>
      <c r="AA4" t="s">
        <v>2555</v>
      </c>
      <c r="AB4" t="s">
        <v>2556</v>
      </c>
      <c r="AC4" t="s">
        <v>2557</v>
      </c>
      <c r="AD4" t="s">
        <v>2558</v>
      </c>
      <c r="AE4" t="s">
        <v>2559</v>
      </c>
      <c r="AF4" t="s">
        <v>2560</v>
      </c>
      <c r="AG4" t="s">
        <v>2561</v>
      </c>
      <c r="AH4" t="s">
        <v>2562</v>
      </c>
      <c r="AI4" t="s">
        <v>2563</v>
      </c>
      <c r="AJ4" t="s">
        <v>2564</v>
      </c>
      <c r="AK4" t="s">
        <v>2565</v>
      </c>
      <c r="AL4" t="s">
        <v>2566</v>
      </c>
      <c r="AM4" t="s">
        <v>2567</v>
      </c>
      <c r="AN4" t="s">
        <v>2568</v>
      </c>
      <c r="AO4" t="s">
        <v>2569</v>
      </c>
      <c r="AP4" t="s">
        <v>2570</v>
      </c>
      <c r="AQ4" t="s">
        <v>2571</v>
      </c>
      <c r="AR4" t="s">
        <v>2572</v>
      </c>
      <c r="AS4" t="s">
        <v>2573</v>
      </c>
      <c r="AT4" t="s">
        <v>2574</v>
      </c>
      <c r="AU4" t="s">
        <v>2575</v>
      </c>
      <c r="AV4" t="s">
        <v>2576</v>
      </c>
      <c r="AW4" t="s">
        <v>2577</v>
      </c>
      <c r="AX4" t="s">
        <v>2578</v>
      </c>
      <c r="AY4" t="s">
        <v>2579</v>
      </c>
      <c r="AZ4" t="s">
        <v>2580</v>
      </c>
      <c r="BA4" t="s">
        <v>2581</v>
      </c>
      <c r="BB4" t="s">
        <v>2582</v>
      </c>
      <c r="BC4" t="s">
        <v>2583</v>
      </c>
      <c r="BD4" t="s">
        <v>2584</v>
      </c>
      <c r="BE4" t="s">
        <v>2585</v>
      </c>
      <c r="BF4" t="s">
        <v>2586</v>
      </c>
      <c r="BG4" t="s">
        <v>2587</v>
      </c>
      <c r="BH4" t="s">
        <v>2588</v>
      </c>
      <c r="BI4" t="s">
        <v>2589</v>
      </c>
      <c r="BJ4" t="s">
        <v>2590</v>
      </c>
      <c r="BK4" t="s">
        <v>2591</v>
      </c>
      <c r="BL4" t="s">
        <v>2592</v>
      </c>
      <c r="BM4" t="s">
        <v>2593</v>
      </c>
      <c r="BN4" t="s">
        <v>2594</v>
      </c>
      <c r="BO4" t="s">
        <v>2595</v>
      </c>
      <c r="BP4" t="s">
        <v>2596</v>
      </c>
      <c r="BQ4" t="s">
        <v>2597</v>
      </c>
      <c r="BR4" t="s">
        <v>2598</v>
      </c>
      <c r="BS4" t="s">
        <v>2599</v>
      </c>
      <c r="BT4" t="s">
        <v>2600</v>
      </c>
      <c r="BU4" t="s">
        <v>2601</v>
      </c>
      <c r="BV4" t="s">
        <v>2602</v>
      </c>
      <c r="BW4" t="s">
        <v>2603</v>
      </c>
      <c r="BX4" t="s">
        <v>2604</v>
      </c>
      <c r="BY4" t="s">
        <v>2605</v>
      </c>
      <c r="BZ4" t="s">
        <v>2606</v>
      </c>
      <c r="CA4" t="s">
        <v>2607</v>
      </c>
      <c r="CB4" t="s">
        <v>2608</v>
      </c>
      <c r="CC4" t="s">
        <v>2609</v>
      </c>
      <c r="CD4" t="s">
        <v>2610</v>
      </c>
      <c r="CE4" t="s">
        <v>2611</v>
      </c>
      <c r="CF4" t="s">
        <v>2612</v>
      </c>
      <c r="CG4" t="s">
        <v>2613</v>
      </c>
      <c r="CH4" t="s">
        <v>2614</v>
      </c>
      <c r="CI4" t="s">
        <v>2615</v>
      </c>
      <c r="CJ4" t="s">
        <v>2616</v>
      </c>
      <c r="CK4" t="s">
        <v>2518</v>
      </c>
    </row>
    <row r="5" spans="1:89" x14ac:dyDescent="0.3">
      <c r="A5" s="6">
        <v>1</v>
      </c>
      <c r="B5" s="7"/>
      <c r="C5" s="7"/>
      <c r="D5" s="7"/>
      <c r="E5" s="7"/>
      <c r="F5" s="7"/>
      <c r="G5" s="7"/>
      <c r="H5" s="7">
        <v>1</v>
      </c>
      <c r="I5" s="7"/>
      <c r="J5" s="7"/>
      <c r="K5" s="7"/>
      <c r="L5" s="7"/>
      <c r="M5" s="7"/>
      <c r="N5" s="7">
        <v>1</v>
      </c>
      <c r="O5" s="7"/>
      <c r="P5" s="7"/>
      <c r="Q5" s="7"/>
      <c r="R5" s="7"/>
      <c r="S5" s="7"/>
      <c r="T5" s="7"/>
      <c r="U5" s="7"/>
      <c r="V5" s="7"/>
      <c r="W5" s="7"/>
      <c r="X5" s="7"/>
      <c r="Y5" s="7"/>
      <c r="Z5" s="7"/>
      <c r="AA5" s="7"/>
      <c r="AB5" s="7"/>
      <c r="AC5" s="7"/>
      <c r="AD5" s="7"/>
      <c r="AE5" s="7"/>
      <c r="AF5" s="7"/>
      <c r="AG5" s="7">
        <v>1</v>
      </c>
      <c r="AH5" s="7"/>
      <c r="AI5" s="7"/>
      <c r="AJ5" s="7"/>
      <c r="AK5" s="7"/>
      <c r="AL5" s="7"/>
      <c r="AM5" s="7"/>
      <c r="AN5" s="7"/>
      <c r="AO5" s="7"/>
      <c r="AP5" s="7"/>
      <c r="AQ5" s="7"/>
      <c r="AR5" s="7"/>
      <c r="AS5" s="7"/>
      <c r="AT5" s="7"/>
      <c r="AU5" s="7"/>
      <c r="AV5" s="7"/>
      <c r="AW5" s="7"/>
      <c r="AX5" s="7">
        <v>1</v>
      </c>
      <c r="AY5" s="7"/>
      <c r="AZ5" s="7"/>
      <c r="BA5" s="7"/>
      <c r="BB5" s="7"/>
      <c r="BC5" s="7"/>
      <c r="BD5" s="7"/>
      <c r="BE5" s="7">
        <v>1</v>
      </c>
      <c r="BF5" s="7"/>
      <c r="BG5" s="7"/>
      <c r="BH5" s="7">
        <v>1</v>
      </c>
      <c r="BI5" s="7"/>
      <c r="BJ5" s="7"/>
      <c r="BK5" s="7"/>
      <c r="BL5" s="7"/>
      <c r="BM5" s="7"/>
      <c r="BN5" s="7"/>
      <c r="BO5" s="7"/>
      <c r="BP5" s="7">
        <v>1</v>
      </c>
      <c r="BQ5" s="7"/>
      <c r="BR5" s="7"/>
      <c r="BS5" s="7"/>
      <c r="BT5" s="7"/>
      <c r="BU5" s="7"/>
      <c r="BV5" s="7"/>
      <c r="BW5" s="7"/>
      <c r="BX5" s="7"/>
      <c r="BY5" s="7"/>
      <c r="BZ5" s="7"/>
      <c r="CA5" s="7"/>
      <c r="CB5" s="7"/>
      <c r="CC5" s="7"/>
      <c r="CD5" s="7"/>
      <c r="CE5" s="7"/>
      <c r="CF5" s="7"/>
      <c r="CG5" s="7"/>
      <c r="CH5" s="7"/>
      <c r="CI5" s="7"/>
      <c r="CJ5" s="7"/>
      <c r="CK5" s="7">
        <v>7</v>
      </c>
    </row>
    <row r="6" spans="1:89" x14ac:dyDescent="0.3">
      <c r="A6" s="6">
        <v>2</v>
      </c>
      <c r="B6" s="7"/>
      <c r="C6" s="7"/>
      <c r="D6" s="7"/>
      <c r="E6" s="7"/>
      <c r="F6" s="7"/>
      <c r="G6" s="7"/>
      <c r="H6" s="7">
        <v>1</v>
      </c>
      <c r="I6" s="7"/>
      <c r="J6" s="7"/>
      <c r="K6" s="7"/>
      <c r="L6" s="7"/>
      <c r="M6" s="7">
        <v>1</v>
      </c>
      <c r="N6" s="7">
        <v>1</v>
      </c>
      <c r="O6" s="7"/>
      <c r="P6" s="7"/>
      <c r="Q6" s="7"/>
      <c r="R6" s="7"/>
      <c r="S6" s="7"/>
      <c r="T6" s="7"/>
      <c r="U6" s="7">
        <v>1</v>
      </c>
      <c r="V6" s="7">
        <v>1</v>
      </c>
      <c r="W6" s="7"/>
      <c r="X6" s="7"/>
      <c r="Y6" s="7"/>
      <c r="Z6" s="7"/>
      <c r="AA6" s="7"/>
      <c r="AB6" s="7"/>
      <c r="AC6" s="7"/>
      <c r="AD6" s="7"/>
      <c r="AE6" s="7"/>
      <c r="AF6" s="7"/>
      <c r="AG6" s="7"/>
      <c r="AH6" s="7">
        <v>1</v>
      </c>
      <c r="AI6" s="7">
        <v>1</v>
      </c>
      <c r="AJ6" s="7"/>
      <c r="AK6" s="7"/>
      <c r="AL6" s="7"/>
      <c r="AM6" s="7"/>
      <c r="AN6" s="7"/>
      <c r="AO6" s="7"/>
      <c r="AP6" s="7"/>
      <c r="AQ6" s="7"/>
      <c r="AR6" s="7"/>
      <c r="AS6" s="7"/>
      <c r="AT6" s="7">
        <v>1</v>
      </c>
      <c r="AU6" s="7">
        <v>1</v>
      </c>
      <c r="AV6" s="7"/>
      <c r="AW6" s="7"/>
      <c r="AX6" s="7">
        <v>1</v>
      </c>
      <c r="AY6" s="7"/>
      <c r="AZ6" s="7"/>
      <c r="BA6" s="7">
        <v>1</v>
      </c>
      <c r="BB6" s="7"/>
      <c r="BC6" s="7"/>
      <c r="BD6" s="7"/>
      <c r="BE6" s="7">
        <v>1</v>
      </c>
      <c r="BF6" s="7"/>
      <c r="BG6" s="7"/>
      <c r="BH6" s="7"/>
      <c r="BI6" s="7"/>
      <c r="BJ6" s="7"/>
      <c r="BK6" s="7">
        <v>1</v>
      </c>
      <c r="BL6" s="7">
        <v>1</v>
      </c>
      <c r="BM6" s="7"/>
      <c r="BN6" s="7"/>
      <c r="BO6" s="7"/>
      <c r="BP6" s="7"/>
      <c r="BQ6" s="7">
        <v>1</v>
      </c>
      <c r="BR6" s="7"/>
      <c r="BS6" s="7">
        <v>1</v>
      </c>
      <c r="BT6" s="7"/>
      <c r="BU6" s="7"/>
      <c r="BV6" s="7">
        <v>1</v>
      </c>
      <c r="BW6" s="7"/>
      <c r="BX6" s="7"/>
      <c r="BY6" s="7"/>
      <c r="BZ6" s="7"/>
      <c r="CA6" s="7"/>
      <c r="CB6" s="7"/>
      <c r="CC6" s="7">
        <v>1</v>
      </c>
      <c r="CD6" s="7"/>
      <c r="CE6" s="7"/>
      <c r="CF6" s="7"/>
      <c r="CG6" s="7"/>
      <c r="CH6" s="7"/>
      <c r="CI6" s="7"/>
      <c r="CJ6" s="7"/>
      <c r="CK6" s="7">
        <v>18</v>
      </c>
    </row>
    <row r="7" spans="1:89" x14ac:dyDescent="0.3">
      <c r="A7" s="6">
        <v>3</v>
      </c>
      <c r="B7" s="7">
        <v>2</v>
      </c>
      <c r="C7" s="7">
        <v>1</v>
      </c>
      <c r="D7" s="7">
        <v>2</v>
      </c>
      <c r="E7" s="7">
        <v>1</v>
      </c>
      <c r="F7" s="7"/>
      <c r="G7" s="7">
        <v>1</v>
      </c>
      <c r="H7" s="7"/>
      <c r="I7" s="7"/>
      <c r="J7" s="7"/>
      <c r="K7" s="7"/>
      <c r="L7" s="7"/>
      <c r="M7" s="7"/>
      <c r="N7" s="7">
        <v>1</v>
      </c>
      <c r="O7" s="7">
        <v>1</v>
      </c>
      <c r="P7" s="7">
        <v>1</v>
      </c>
      <c r="Q7" s="7"/>
      <c r="R7" s="7"/>
      <c r="S7" s="7"/>
      <c r="T7" s="7">
        <v>1</v>
      </c>
      <c r="U7" s="7">
        <v>2</v>
      </c>
      <c r="V7" s="7">
        <v>1</v>
      </c>
      <c r="W7" s="7">
        <v>1</v>
      </c>
      <c r="X7" s="7"/>
      <c r="Y7" s="7">
        <v>1</v>
      </c>
      <c r="Z7" s="7">
        <v>2</v>
      </c>
      <c r="AA7" s="7">
        <v>3</v>
      </c>
      <c r="AB7" s="7">
        <v>1</v>
      </c>
      <c r="AC7" s="7"/>
      <c r="AD7" s="7"/>
      <c r="AE7" s="7"/>
      <c r="AF7" s="7"/>
      <c r="AG7" s="7">
        <v>1</v>
      </c>
      <c r="AH7" s="7">
        <v>5</v>
      </c>
      <c r="AI7" s="7">
        <v>2</v>
      </c>
      <c r="AJ7" s="7">
        <v>1</v>
      </c>
      <c r="AK7" s="7">
        <v>1</v>
      </c>
      <c r="AL7" s="7">
        <v>2</v>
      </c>
      <c r="AM7" s="7">
        <v>3</v>
      </c>
      <c r="AN7" s="7">
        <v>1</v>
      </c>
      <c r="AO7" s="7">
        <v>1</v>
      </c>
      <c r="AP7" s="7">
        <v>3</v>
      </c>
      <c r="AQ7" s="7">
        <v>1</v>
      </c>
      <c r="AR7" s="7">
        <v>1</v>
      </c>
      <c r="AS7" s="7"/>
      <c r="AT7" s="7"/>
      <c r="AU7" s="7">
        <v>1</v>
      </c>
      <c r="AV7" s="7"/>
      <c r="AW7" s="7">
        <v>1</v>
      </c>
      <c r="AX7" s="7">
        <v>5</v>
      </c>
      <c r="AY7" s="7"/>
      <c r="AZ7" s="7">
        <v>3</v>
      </c>
      <c r="BA7" s="7"/>
      <c r="BB7" s="7"/>
      <c r="BC7" s="7">
        <v>2</v>
      </c>
      <c r="BD7" s="7">
        <v>2</v>
      </c>
      <c r="BE7" s="7"/>
      <c r="BF7" s="7">
        <v>2</v>
      </c>
      <c r="BG7" s="7">
        <v>1</v>
      </c>
      <c r="BH7" s="7">
        <v>2</v>
      </c>
      <c r="BI7" s="7"/>
      <c r="BJ7" s="7">
        <v>2</v>
      </c>
      <c r="BK7" s="7">
        <v>1</v>
      </c>
      <c r="BL7" s="7">
        <v>5</v>
      </c>
      <c r="BM7" s="7">
        <v>1</v>
      </c>
      <c r="BN7" s="7">
        <v>2</v>
      </c>
      <c r="BO7" s="7"/>
      <c r="BP7" s="7"/>
      <c r="BQ7" s="7">
        <v>1</v>
      </c>
      <c r="BR7" s="7">
        <v>1</v>
      </c>
      <c r="BS7" s="7">
        <v>1</v>
      </c>
      <c r="BT7" s="7">
        <v>2</v>
      </c>
      <c r="BU7" s="7">
        <v>1</v>
      </c>
      <c r="BV7" s="7"/>
      <c r="BW7" s="7">
        <v>1</v>
      </c>
      <c r="BX7" s="7">
        <v>2</v>
      </c>
      <c r="BY7" s="7">
        <v>1</v>
      </c>
      <c r="BZ7" s="7"/>
      <c r="CA7" s="7"/>
      <c r="CB7" s="7"/>
      <c r="CC7" s="7">
        <v>3</v>
      </c>
      <c r="CD7" s="7"/>
      <c r="CE7" s="7"/>
      <c r="CF7" s="7">
        <v>1</v>
      </c>
      <c r="CG7" s="7">
        <v>1</v>
      </c>
      <c r="CH7" s="7">
        <v>1</v>
      </c>
      <c r="CI7" s="7"/>
      <c r="CJ7" s="7"/>
      <c r="CK7" s="7">
        <v>90</v>
      </c>
    </row>
    <row r="8" spans="1:89" x14ac:dyDescent="0.3">
      <c r="A8" s="6">
        <v>4</v>
      </c>
      <c r="B8" s="7">
        <v>5</v>
      </c>
      <c r="C8" s="7">
        <v>3</v>
      </c>
      <c r="D8" s="7">
        <v>3</v>
      </c>
      <c r="E8" s="7"/>
      <c r="F8" s="7">
        <v>1</v>
      </c>
      <c r="G8" s="7">
        <v>1</v>
      </c>
      <c r="H8" s="7">
        <v>2</v>
      </c>
      <c r="I8" s="7">
        <v>3</v>
      </c>
      <c r="J8" s="7">
        <v>2</v>
      </c>
      <c r="K8" s="7">
        <v>3</v>
      </c>
      <c r="L8" s="7">
        <v>2</v>
      </c>
      <c r="M8" s="7">
        <v>1</v>
      </c>
      <c r="N8" s="7"/>
      <c r="O8" s="7">
        <v>2</v>
      </c>
      <c r="P8" s="7">
        <v>1</v>
      </c>
      <c r="Q8" s="7"/>
      <c r="R8" s="7">
        <v>3</v>
      </c>
      <c r="S8" s="7">
        <v>1</v>
      </c>
      <c r="T8" s="7">
        <v>1</v>
      </c>
      <c r="U8" s="7">
        <v>2</v>
      </c>
      <c r="V8" s="7"/>
      <c r="W8" s="7"/>
      <c r="X8" s="7">
        <v>5</v>
      </c>
      <c r="Y8" s="7">
        <v>2</v>
      </c>
      <c r="Z8" s="7">
        <v>1</v>
      </c>
      <c r="AA8" s="7">
        <v>1</v>
      </c>
      <c r="AB8" s="7">
        <v>1</v>
      </c>
      <c r="AC8" s="7">
        <v>2</v>
      </c>
      <c r="AD8" s="7">
        <v>3</v>
      </c>
      <c r="AE8" s="7">
        <v>3</v>
      </c>
      <c r="AF8" s="7"/>
      <c r="AG8" s="7">
        <v>1</v>
      </c>
      <c r="AH8" s="7">
        <v>3</v>
      </c>
      <c r="AI8" s="7">
        <v>3</v>
      </c>
      <c r="AJ8" s="7">
        <v>7</v>
      </c>
      <c r="AK8" s="7">
        <v>4</v>
      </c>
      <c r="AL8" s="7">
        <v>6</v>
      </c>
      <c r="AM8" s="7">
        <v>1</v>
      </c>
      <c r="AN8" s="7">
        <v>5</v>
      </c>
      <c r="AO8" s="7">
        <v>5</v>
      </c>
      <c r="AP8" s="7">
        <v>4</v>
      </c>
      <c r="AQ8" s="7">
        <v>2</v>
      </c>
      <c r="AR8" s="7">
        <v>5</v>
      </c>
      <c r="AS8" s="7">
        <v>7</v>
      </c>
      <c r="AT8" s="7">
        <v>3</v>
      </c>
      <c r="AU8" s="7">
        <v>2</v>
      </c>
      <c r="AV8" s="7">
        <v>2</v>
      </c>
      <c r="AW8" s="7">
        <v>1</v>
      </c>
      <c r="AX8" s="7">
        <v>4</v>
      </c>
      <c r="AY8" s="7">
        <v>4</v>
      </c>
      <c r="AZ8" s="7">
        <v>2</v>
      </c>
      <c r="BA8" s="7">
        <v>1</v>
      </c>
      <c r="BB8" s="7">
        <v>3</v>
      </c>
      <c r="BC8" s="7">
        <v>3</v>
      </c>
      <c r="BD8" s="7">
        <v>3</v>
      </c>
      <c r="BE8" s="7"/>
      <c r="BF8" s="7">
        <v>2</v>
      </c>
      <c r="BG8" s="7">
        <v>3</v>
      </c>
      <c r="BH8" s="7">
        <v>5</v>
      </c>
      <c r="BI8" s="7">
        <v>3</v>
      </c>
      <c r="BJ8" s="7">
        <v>3</v>
      </c>
      <c r="BK8" s="7">
        <v>3</v>
      </c>
      <c r="BL8" s="7">
        <v>5</v>
      </c>
      <c r="BM8" s="7">
        <v>2</v>
      </c>
      <c r="BN8" s="7">
        <v>2</v>
      </c>
      <c r="BO8" s="7">
        <v>3</v>
      </c>
      <c r="BP8" s="7"/>
      <c r="BQ8" s="7">
        <v>2</v>
      </c>
      <c r="BR8" s="7">
        <v>4</v>
      </c>
      <c r="BS8" s="7">
        <v>2</v>
      </c>
      <c r="BT8" s="7">
        <v>3</v>
      </c>
      <c r="BU8" s="7"/>
      <c r="BV8" s="7"/>
      <c r="BW8" s="7"/>
      <c r="BX8" s="7">
        <v>1</v>
      </c>
      <c r="BY8" s="7">
        <v>3</v>
      </c>
      <c r="BZ8" s="7">
        <v>2</v>
      </c>
      <c r="CA8" s="7">
        <v>7</v>
      </c>
      <c r="CB8" s="7">
        <v>3</v>
      </c>
      <c r="CC8" s="7">
        <v>2</v>
      </c>
      <c r="CD8" s="7">
        <v>5</v>
      </c>
      <c r="CE8" s="7">
        <v>3</v>
      </c>
      <c r="CF8" s="7">
        <v>2</v>
      </c>
      <c r="CG8" s="7">
        <v>3</v>
      </c>
      <c r="CH8" s="7">
        <v>1</v>
      </c>
      <c r="CI8" s="7"/>
      <c r="CJ8" s="7">
        <v>1</v>
      </c>
      <c r="CK8" s="7">
        <v>210</v>
      </c>
    </row>
    <row r="9" spans="1:89" x14ac:dyDescent="0.3">
      <c r="A9" s="6">
        <v>5</v>
      </c>
      <c r="B9" s="7">
        <v>1</v>
      </c>
      <c r="C9" s="7">
        <v>1</v>
      </c>
      <c r="D9" s="7">
        <v>3</v>
      </c>
      <c r="E9" s="7">
        <v>2</v>
      </c>
      <c r="F9" s="7"/>
      <c r="G9" s="7">
        <v>1</v>
      </c>
      <c r="H9" s="7">
        <v>1</v>
      </c>
      <c r="I9" s="7">
        <v>1</v>
      </c>
      <c r="J9" s="7">
        <v>2</v>
      </c>
      <c r="K9" s="7">
        <v>4</v>
      </c>
      <c r="L9" s="7"/>
      <c r="M9" s="7">
        <v>3</v>
      </c>
      <c r="N9" s="7">
        <v>3</v>
      </c>
      <c r="O9" s="7">
        <v>2</v>
      </c>
      <c r="P9" s="7">
        <v>3</v>
      </c>
      <c r="Q9" s="7">
        <v>1</v>
      </c>
      <c r="R9" s="7"/>
      <c r="S9" s="7"/>
      <c r="T9" s="7">
        <v>2</v>
      </c>
      <c r="U9" s="7">
        <v>3</v>
      </c>
      <c r="V9" s="7">
        <v>2</v>
      </c>
      <c r="W9" s="7">
        <v>1</v>
      </c>
      <c r="X9" s="7"/>
      <c r="Y9" s="7"/>
      <c r="Z9" s="7">
        <v>1</v>
      </c>
      <c r="AA9" s="7">
        <v>1</v>
      </c>
      <c r="AB9" s="7"/>
      <c r="AC9" s="7">
        <v>3</v>
      </c>
      <c r="AD9" s="7">
        <v>3</v>
      </c>
      <c r="AE9" s="7">
        <v>1</v>
      </c>
      <c r="AF9" s="7">
        <v>3</v>
      </c>
      <c r="AG9" s="7"/>
      <c r="AH9" s="7">
        <v>4</v>
      </c>
      <c r="AI9" s="7"/>
      <c r="AJ9" s="7">
        <v>6</v>
      </c>
      <c r="AK9" s="7">
        <v>2</v>
      </c>
      <c r="AL9" s="7"/>
      <c r="AM9" s="7">
        <v>1</v>
      </c>
      <c r="AN9" s="7"/>
      <c r="AO9" s="7">
        <v>1</v>
      </c>
      <c r="AP9" s="7">
        <v>2</v>
      </c>
      <c r="AQ9" s="7">
        <v>1</v>
      </c>
      <c r="AR9" s="7">
        <v>1</v>
      </c>
      <c r="AS9" s="7">
        <v>3</v>
      </c>
      <c r="AT9" s="7"/>
      <c r="AU9" s="7">
        <v>2</v>
      </c>
      <c r="AV9" s="7"/>
      <c r="AW9" s="7"/>
      <c r="AX9" s="7">
        <v>3</v>
      </c>
      <c r="AY9" s="7">
        <v>1</v>
      </c>
      <c r="AZ9" s="7">
        <v>1</v>
      </c>
      <c r="BA9" s="7">
        <v>2</v>
      </c>
      <c r="BB9" s="7"/>
      <c r="BC9" s="7">
        <v>1</v>
      </c>
      <c r="BD9" s="7">
        <v>2</v>
      </c>
      <c r="BE9" s="7">
        <v>2</v>
      </c>
      <c r="BF9" s="7">
        <v>4</v>
      </c>
      <c r="BG9" s="7">
        <v>1</v>
      </c>
      <c r="BH9" s="7">
        <v>1</v>
      </c>
      <c r="BI9" s="7"/>
      <c r="BJ9" s="7">
        <v>1</v>
      </c>
      <c r="BK9" s="7">
        <v>3</v>
      </c>
      <c r="BL9" s="7"/>
      <c r="BM9" s="7">
        <v>2</v>
      </c>
      <c r="BN9" s="7">
        <v>1</v>
      </c>
      <c r="BO9" s="7">
        <v>1</v>
      </c>
      <c r="BP9" s="7">
        <v>1</v>
      </c>
      <c r="BQ9" s="7">
        <v>2</v>
      </c>
      <c r="BR9" s="7">
        <v>3</v>
      </c>
      <c r="BS9" s="7">
        <v>1</v>
      </c>
      <c r="BT9" s="7">
        <v>1</v>
      </c>
      <c r="BU9" s="7"/>
      <c r="BV9" s="7">
        <v>2</v>
      </c>
      <c r="BW9" s="7">
        <v>2</v>
      </c>
      <c r="BX9" s="7">
        <v>2</v>
      </c>
      <c r="BY9" s="7">
        <v>1</v>
      </c>
      <c r="BZ9" s="7">
        <v>1</v>
      </c>
      <c r="CA9" s="7">
        <v>3</v>
      </c>
      <c r="CB9" s="7">
        <v>1</v>
      </c>
      <c r="CC9" s="7"/>
      <c r="CD9" s="7">
        <v>2</v>
      </c>
      <c r="CE9" s="7">
        <v>5</v>
      </c>
      <c r="CF9" s="7">
        <v>1</v>
      </c>
      <c r="CG9" s="7">
        <v>2</v>
      </c>
      <c r="CH9" s="7">
        <v>1</v>
      </c>
      <c r="CI9" s="7">
        <v>1</v>
      </c>
      <c r="CJ9" s="7">
        <v>2</v>
      </c>
      <c r="CK9" s="7">
        <v>131</v>
      </c>
    </row>
    <row r="10" spans="1:89" x14ac:dyDescent="0.3">
      <c r="A10" s="6" t="s">
        <v>2518</v>
      </c>
      <c r="B10" s="7">
        <v>8</v>
      </c>
      <c r="C10" s="7">
        <v>5</v>
      </c>
      <c r="D10" s="7">
        <v>8</v>
      </c>
      <c r="E10" s="7">
        <v>3</v>
      </c>
      <c r="F10" s="7">
        <v>1</v>
      </c>
      <c r="G10" s="7">
        <v>3</v>
      </c>
      <c r="H10" s="7">
        <v>5</v>
      </c>
      <c r="I10" s="7">
        <v>4</v>
      </c>
      <c r="J10" s="7">
        <v>4</v>
      </c>
      <c r="K10" s="7">
        <v>7</v>
      </c>
      <c r="L10" s="7">
        <v>2</v>
      </c>
      <c r="M10" s="7">
        <v>5</v>
      </c>
      <c r="N10" s="7">
        <v>6</v>
      </c>
      <c r="O10" s="7">
        <v>5</v>
      </c>
      <c r="P10" s="7">
        <v>5</v>
      </c>
      <c r="Q10" s="7">
        <v>1</v>
      </c>
      <c r="R10" s="7">
        <v>3</v>
      </c>
      <c r="S10" s="7">
        <v>1</v>
      </c>
      <c r="T10" s="7">
        <v>4</v>
      </c>
      <c r="U10" s="7">
        <v>8</v>
      </c>
      <c r="V10" s="7">
        <v>4</v>
      </c>
      <c r="W10" s="7">
        <v>2</v>
      </c>
      <c r="X10" s="7">
        <v>5</v>
      </c>
      <c r="Y10" s="7">
        <v>3</v>
      </c>
      <c r="Z10" s="7">
        <v>4</v>
      </c>
      <c r="AA10" s="7">
        <v>5</v>
      </c>
      <c r="AB10" s="7">
        <v>2</v>
      </c>
      <c r="AC10" s="7">
        <v>5</v>
      </c>
      <c r="AD10" s="7">
        <v>6</v>
      </c>
      <c r="AE10" s="7">
        <v>4</v>
      </c>
      <c r="AF10" s="7">
        <v>3</v>
      </c>
      <c r="AG10" s="7">
        <v>3</v>
      </c>
      <c r="AH10" s="7">
        <v>13</v>
      </c>
      <c r="AI10" s="7">
        <v>6</v>
      </c>
      <c r="AJ10" s="7">
        <v>14</v>
      </c>
      <c r="AK10" s="7">
        <v>7</v>
      </c>
      <c r="AL10" s="7">
        <v>8</v>
      </c>
      <c r="AM10" s="7">
        <v>5</v>
      </c>
      <c r="AN10" s="7">
        <v>6</v>
      </c>
      <c r="AO10" s="7">
        <v>7</v>
      </c>
      <c r="AP10" s="7">
        <v>9</v>
      </c>
      <c r="AQ10" s="7">
        <v>4</v>
      </c>
      <c r="AR10" s="7">
        <v>7</v>
      </c>
      <c r="AS10" s="7">
        <v>10</v>
      </c>
      <c r="AT10" s="7">
        <v>4</v>
      </c>
      <c r="AU10" s="7">
        <v>6</v>
      </c>
      <c r="AV10" s="7">
        <v>2</v>
      </c>
      <c r="AW10" s="7">
        <v>2</v>
      </c>
      <c r="AX10" s="7">
        <v>14</v>
      </c>
      <c r="AY10" s="7">
        <v>5</v>
      </c>
      <c r="AZ10" s="7">
        <v>6</v>
      </c>
      <c r="BA10" s="7">
        <v>4</v>
      </c>
      <c r="BB10" s="7">
        <v>3</v>
      </c>
      <c r="BC10" s="7">
        <v>6</v>
      </c>
      <c r="BD10" s="7">
        <v>7</v>
      </c>
      <c r="BE10" s="7">
        <v>4</v>
      </c>
      <c r="BF10" s="7">
        <v>8</v>
      </c>
      <c r="BG10" s="7">
        <v>5</v>
      </c>
      <c r="BH10" s="7">
        <v>9</v>
      </c>
      <c r="BI10" s="7">
        <v>3</v>
      </c>
      <c r="BJ10" s="7">
        <v>6</v>
      </c>
      <c r="BK10" s="7">
        <v>8</v>
      </c>
      <c r="BL10" s="7">
        <v>11</v>
      </c>
      <c r="BM10" s="7">
        <v>5</v>
      </c>
      <c r="BN10" s="7">
        <v>5</v>
      </c>
      <c r="BO10" s="7">
        <v>4</v>
      </c>
      <c r="BP10" s="7">
        <v>2</v>
      </c>
      <c r="BQ10" s="7">
        <v>6</v>
      </c>
      <c r="BR10" s="7">
        <v>8</v>
      </c>
      <c r="BS10" s="7">
        <v>5</v>
      </c>
      <c r="BT10" s="7">
        <v>6</v>
      </c>
      <c r="BU10" s="7">
        <v>1</v>
      </c>
      <c r="BV10" s="7">
        <v>3</v>
      </c>
      <c r="BW10" s="7">
        <v>3</v>
      </c>
      <c r="BX10" s="7">
        <v>5</v>
      </c>
      <c r="BY10" s="7">
        <v>5</v>
      </c>
      <c r="BZ10" s="7">
        <v>3</v>
      </c>
      <c r="CA10" s="7">
        <v>10</v>
      </c>
      <c r="CB10" s="7">
        <v>4</v>
      </c>
      <c r="CC10" s="7">
        <v>6</v>
      </c>
      <c r="CD10" s="7">
        <v>7</v>
      </c>
      <c r="CE10" s="7">
        <v>8</v>
      </c>
      <c r="CF10" s="7">
        <v>4</v>
      </c>
      <c r="CG10" s="7">
        <v>6</v>
      </c>
      <c r="CH10" s="7">
        <v>3</v>
      </c>
      <c r="CI10" s="7">
        <v>1</v>
      </c>
      <c r="CJ10" s="7">
        <v>3</v>
      </c>
      <c r="CK10" s="7">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Questions &amp; KPIs</vt:lpstr>
      <vt:lpstr>Dashboard</vt:lpstr>
      <vt:lpstr>Sheet1</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kavya prabhaa</cp:lastModifiedBy>
  <dcterms:created xsi:type="dcterms:W3CDTF">2025-06-13T02:42:26Z</dcterms:created>
  <dcterms:modified xsi:type="dcterms:W3CDTF">2026-03-04T19:06:13Z</dcterms:modified>
</cp:coreProperties>
</file>